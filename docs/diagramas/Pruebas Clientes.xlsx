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Matriz" sheetId="2" r:id="rId6"/>
    <sheet state="visible" name="Evidencias" sheetId="3" r:id="rId7"/>
  </sheets>
  <definedNames>
    <definedName hidden="1" localSheetId="1" name="_xlnm._FilterDatabase">Matriz!$A$6:$T$111</definedName>
    <definedName hidden="1" localSheetId="1" name="Z_24D932DD_B9BB_4294_943C_510C091D96FB_.wvu.FilterData">Matriz!$A$6:$T$111</definedName>
  </definedNames>
  <calcPr/>
  <customWorkbookViews>
    <customWorkbookView activeSheetId="0" maximized="1" windowHeight="0" windowWidth="0" guid="{24D932DD-B9BB-4294-943C-510C091D96FB}" name="MatrizPruebas filter view"/>
  </customWorkbookViews>
</workbook>
</file>

<file path=xl/sharedStrings.xml><?xml version="1.0" encoding="utf-8"?>
<sst xmlns="http://schemas.openxmlformats.org/spreadsheetml/2006/main" count="2500" uniqueCount="1083">
  <si>
    <t>Matriz de pruebas de integración de clientes</t>
  </si>
  <si>
    <t xml:space="preserve">Resultados de ejecución en entorno local (09/10/2026). </t>
  </si>
  <si>
    <t>El reporte incluye la evaluación de respuestas HTTP, validación de reglas de negocio, manejo de excepciones y escenarios detenidos por dependencias previas.</t>
  </si>
  <si>
    <t>Estado</t>
  </si>
  <si>
    <t>Casos</t>
  </si>
  <si>
    <t>Cómo consultar los resultados</t>
  </si>
  <si>
    <t>Aprobado</t>
  </si>
  <si>
    <t>1. Revisar Estado en la hoja Matriz.</t>
  </si>
  <si>
    <t>Reportado aprobado</t>
  </si>
  <si>
    <t>2. Consultar HTTP obtenido y resumen de Tests en K:L.</t>
  </si>
  <si>
    <t>Pendiente</t>
  </si>
  <si>
    <t>Índice de evidencias</t>
  </si>
  <si>
    <t>Matriz de pruebas funcionales</t>
  </si>
  <si>
    <t>Resultados de ejecución automática. Respuestas y Tests pegados en texto; tokens y contraseñas omitidos.</t>
  </si>
  <si>
    <t>3. Usar Evidencia ID para localizar el caso en Evidencias.</t>
  </si>
  <si>
    <t>Fallido</t>
  </si>
  <si>
    <t>Backend local. Estado histórico al 09/10/2026. Campos K:R editables para completar o actualizar resultados.</t>
  </si>
  <si>
    <t>Evidencia ID</t>
  </si>
  <si>
    <t>ID</t>
  </si>
  <si>
    <t>4. Respuesta HTTP y Tests están pegados como texto.</t>
  </si>
  <si>
    <t>Bloqueado</t>
  </si>
  <si>
    <t>Caso o bloque</t>
  </si>
  <si>
    <t>Módulo</t>
  </si>
  <si>
    <t>Tipo de soporte</t>
  </si>
  <si>
    <t>5. Observaciones simples en R; próxima acción en T.</t>
  </si>
  <si>
    <t>Respuesta HTTP</t>
  </si>
  <si>
    <t>Total de casos</t>
  </si>
  <si>
    <t>Grupo</t>
  </si>
  <si>
    <t>Tests</t>
  </si>
  <si>
    <t>Petición Bruno</t>
  </si>
  <si>
    <t>Observaciones</t>
  </si>
  <si>
    <t>Método</t>
  </si>
  <si>
    <t>S-001</t>
  </si>
  <si>
    <t>Endpoint y filtros</t>
  </si>
  <si>
    <t>CP-001 — Sexos</t>
  </si>
  <si>
    <t>Aprobado: todas las aserciones del caso pasaron.</t>
  </si>
  <si>
    <t>Aprobación confirmada / total</t>
  </si>
  <si>
    <t>Sesión requerida</t>
  </si>
  <si>
    <t>Respuesta y Tests</t>
  </si>
  <si>
    <t>HTTP 200
[
  {
    "id": 1,
    "descripcion": "Masculino"
  },
  {
    "id": 2,
    "descripcion": "Femenino"
  }
]</t>
  </si>
  <si>
    <t>Precondiciones y pasos</t>
  </si>
  <si>
    <t>Tests (1), Passed: 1, Failed: 0
PASS — Catálogo disponible</t>
  </si>
  <si>
    <t>HTTP esperado</t>
  </si>
  <si>
    <t>Ejecución automática.</t>
  </si>
  <si>
    <t>CAT-001</t>
  </si>
  <si>
    <t>Reportado aprobado: reservado para resultados anteriores sin ejecución individual.</t>
  </si>
  <si>
    <t>Criterios de aceptación</t>
  </si>
  <si>
    <t>Pendiente: reservado para casos todavía no revisados.</t>
  </si>
  <si>
    <t>CP-002 — Nacionalidades</t>
  </si>
  <si>
    <t>HTTP obtenido</t>
  </si>
  <si>
    <t>Fallido: falló una aserción. Bloqueado: una precondición impidió enviar la petición.</t>
  </si>
  <si>
    <t>Resultado observado</t>
  </si>
  <si>
    <t>HTTP 200
[
  {
    "id": 1,
    "descripcion": "Mexicana"
  }
]</t>
  </si>
  <si>
    <t>Fecha ejecución</t>
  </si>
  <si>
    <t>Total</t>
  </si>
  <si>
    <t>Responsable</t>
  </si>
  <si>
    <t>CAT-002</t>
  </si>
  <si>
    <t>CP-003 — Paises</t>
  </si>
  <si>
    <t>Catalogos de Mexico</t>
  </si>
  <si>
    <t>Soporte</t>
  </si>
  <si>
    <t>HTTP 200
[
  {
    "id": 1,
    "descripcion": "México"
  }
]</t>
  </si>
  <si>
    <t>Fuente de la petición</t>
  </si>
  <si>
    <t>CAT-003</t>
  </si>
  <si>
    <t>Próxima acción</t>
  </si>
  <si>
    <t>CP-004 — Estados civiles</t>
  </si>
  <si>
    <t>CP-001</t>
  </si>
  <si>
    <t>HTTP 200
[
  {
    "id": 1,
    "descripcion": "Soltero/a"
  },
  {
    "id": 2,
    "descripcion": "Casado/a"
  },
  {
    "id": 3,
    "descripcion": "Divorciado/a"
  },
  {
    "id": 4,
    "descripcion": "Viudo/a"
  },
  {
    "id": 5,
    "descripcion": "Unión libre"
  },
  {
    "id": 6,
    "descripcion": "Separado/a"
  },
  {
    "id": 7,
    "descripcion": "No especificado"
  }
]</t>
  </si>
  <si>
    <t>CAT-004</t>
  </si>
  <si>
    <t>Opciones personales</t>
  </si>
  <si>
    <t>CP-005 — Codigo postal</t>
  </si>
  <si>
    <t>Sexos</t>
  </si>
  <si>
    <t>GET</t>
  </si>
  <si>
    <t>/catalogos/sexos</t>
  </si>
  <si>
    <t>HTTP 200
[
  {
    "id": 110330007,
    "codigoPostal": "37907",
    "colonia": "Ancona Residencial",
    "tipo": "Fraccionamiento",
    "municipioId": 11033,
    "municipio": "San Luis de la Paz",
    "estadoId": 11,
    "estado": "Guanajuato"
  },
  {
    "id": 110330008,
    "codigoPostal": "37907",
    "colonia": "Catania",
    "tipo": "Fraccionamiento",
    "municipioId": 11033,
    "municipio": "San Luis de la Paz",
    "estadoId": 11,
    "estado": "Guanajuato"
  },
  {
    "id": 110333873,
    "codigoPostal": "37907",
    "colonia": "El Panteón",
    "tipo": "Colonia",
    "municipioId": 11033,
    "municipio": "San Luis de la Paz",
    "estadoId": 11,
    "estado": "Guanajuato"
  },
  {
    "id": 110333854,
    "codigoPostal": "37907",
    "colonia": "La Purísima",
    "tipo": "Colonia",
    "municipioId": 11033,
    "municipio": "San Luis de la Paz",
    "estadoId": 11,
    "estado": "Guanajuato"
  },
  {
    "id": 110330006,
    "codigoPostal": "37907",
    "colonia": "La Toscana",
    "tipo": "Fraccionamiento",
    "municipioId": 11033,
    "municipio": "San Luis de la Paz",
    "estadoId": 11,
    "estado": "Guanajuato"
  },
  {
    "id": 110333853,
    "codigoPostal": "37907",
    "colonia": "La Virgencita",
    "tipo": "Colonia",
    "municipioId": 11033,
    "municipio": "San Luis de la Paz",
    "estadoId": 11,
    "estado": "Guanajuato"
  },
  {
    "id": 110333890,
    "codigoPostal": "37907",
    "colonia": "Lindavista",
    "tipo": "Colonia",
    "municipioId": 11033,
    "municipio": "San Luis de la Paz",
    "estadoId": 11,
    "estado": "Guanajuato"
  },
  {
    "id": 110333874,
    "codigoPostal": "37907",
    "colonia": "Los Pinos",
    "tipo": "Colonia",
    "municipioId": 11033,
    "municipio": "San Luis de la Paz",
    "estadoId": 11,
    "estado": "Guanajuato"
  },
  {
    "id": 110338607,
    "codigoPostal": "37907",
    "colonia": "Los Sauces (El Derramadero)",
    "tipo": "Colonia",
    "municipioId": 11033,
    "municipio": "San Luis de la Paz",
    "estadoId": 11,
    "estado": "Guanajuato"
  },
  {
    "id": 110338786,
    "codigoPostal": "37907",
    "colonia": "Nuevo San Luis",
    "tipo": "Colonia",
    "municipioId": 11033,
    "municipio": "San Luis de la Paz",
    "estadoId": 11,
    "estado": "Guanajuato"
  },
  {
    "id": 110333891,
    "codigoPostal": "37907",
    "colonia": "San Isidro",
    "tipo": "Colonia",
    "municipioId": 11033,
    "municipio": "San Luis de la Paz",
    "estadoId": 11,
    "estado": "Guanajuato"
  },
  {
    "id": 110333896,
    "codigoPostal": "37907",
    "colonia": "San Luis Gonzaga",
    "tipo": "Colonia",
    "municipioId": 11033,
    "municipio": "San Luis de la Paz",
    "estadoId": 11,
    "estado": "Guanajuato"
  },
  {
    "id": 110338787,
    "codigoPostal": "37907",
    "colonia": "San Luis González",
    "tipo": "Fraccionamiento",
    "municipioId": 11033,
    "municipio": "San Luis de la Paz",
    "estadoId": 11,
    "estado": "Guanajuato"
  },
  {
    "id": 110333892,
    "codigoPostal": "37907",
    "colonia": "Siglo XXI",
    "tipo": "Colonia",
    "municipioId": 11033,
    "municipio": "San Luis de la Paz",
    "estadoId": 11,
    "estado": "Guanajuato"
  }
]</t>
  </si>
  <si>
    <t>Pública</t>
  </si>
  <si>
    <t>Se creó un perfil QA de mantenimiento distinto del cliente 6: cliente 11.</t>
  </si>
  <si>
    <t>Backend local iniciado; ejecutar la petición y revisar respuesta y Tests.</t>
  </si>
  <si>
    <t>Registro de clientes</t>
  </si>
  <si>
    <t>CAT-005</t>
  </si>
  <si>
    <t>Lista pública con IDs y descripciones de las opciones de sexo.</t>
  </si>
  <si>
    <t>CP-006 — Codigo postal Sofia</t>
  </si>
  <si>
    <t>HTTP 200; Tests: 1 aprobados, 0 fallidos. 20 ms.</t>
  </si>
  <si>
    <t>HTTP 200
[
  {
    "id": 110144192,
    "codigoPostal": "37803",
    "colonia": "Arboledas",
    "tipo": "Colonia",
    "municipioId": 11014,
    "municipio": "Dolores Hidalgo Cuna de la Independencia Nacional",
    "estadoId": 11,
    "estado": "Guanajuato"
  },
  {
    "id": 110140022,
    "codigoPostal": "37803",
    "colonia": "Gladiolas",
    "tipo": "Colonia",
    "municipioId": 11014,
    "municipio": "Dolores Hidalgo Cuna de la Independencia Nacional",
    "estadoId": 11,
    "estado": "Guanajuato"
  },
  {
    "id": 110144190,
    "codigoPostal": "37803",
    "colonia": "Guanajuato",
    "tipo": "Fraccionamiento",
    "municipioId": 11014,
    "municipio": "Dolores Hidalgo Cuna de la Independencia Nacional",
    "estadoId": 11,
    "estado": "Guanajuato"
  },
  {
    "id": 110140023,
    "codigoPostal": "37803",
    "colonia": "Héroes de San Cristóbal",
    "tipo": "Colonia",
    "municipioId": 11014,
    "municipio": "Dolores Hidalgo Cuna de la Independencia Nacional",
    "estadoId": 11,
    "estado": "Guanajuato"
  },
  {
    "id": 110140014,
    "codigoPostal": "37803",
    "colonia": "La Cruz del Padre Razo (Las Crucitas)",
    "tipo": "Colonia",
    "municipioId": 11014,
    "municipio": "Dolores Hidalgo Cuna de la Independencia Nacional",
    "estadoId": 11,
    "estado": "Guanajuato"
  },
  {
    "id": 110140045,
    "codigoPostal": "37803",
    "colonia": "La Providencia",
    "tipo": "Colonia",
    "municipioId": 11014,
    "municipio": "Dolores Hidalgo Cuna de la Independencia Nacional",
    "estadoId": 11,
    "estado": "Guanajuato"
  },
  {
    "id": 110140027,
    "codigoPostal": "37803",
    "colonia": "Lomas Verde",
    "tipo": "Colonia",
    "municipioId": 11014,
    "municipio": "Dolores Hidalgo Cuna de la Independencia Nacional",
    "estadoId": 11,
    "estado": "Guanajuato"
  },
  {
    "id": 110145303,
    "codigoPostal": "37803",
    "colonia": "Los Olivos",
    "tipo": "Fraccionamiento",
    "municipioId": 11014,
    "municipio": "Dolores Hidalgo Cuna de la Independencia Nacional",
    "estadoId": 11,
    "estado": "Guanajuato"
  },
  {
    "id": 110140026,
    "codigoPostal": "37803",
    "colonia": "Lázaro Cárdenas",
    "tipo": "Colonia",
    "municipioId": 11014,
    "municipio": "Dolores Hidalgo Cuna de la Independencia Nacional",
    "estadoId": 11,
    "estado": "Guanajuato"
  },
  {
    "id": 110140028,
    "codigoPostal": "37803",
    "colonia": "Margaritas",
    "tipo": "Colonia",
    "municipioId": 11014,
    "municipio": "Dolores Hidalgo Cuna de la Independencia Nacional",
    "estadoId": 11,
    "estado": "Guanajuato"
  },
  {
    "id": 110144188,
    "codigoPostal": "37803",
    "colonia": "Margaritas II",
    "tipo": "Fraccionamiento",
    "municipioId": 11014,
    "municipio": "Dolores Hidalgo Cuna de la Independencia Nacional",
    "estadoId": 11,
    "estado": "Guanajuato"
  },
  {
    "id": 110144187,
    "codigoPostal": "37803",
    "colonia": "Mariano Balleza",
    "tipo": "Colonia",
    "municipioId": 11014,
    "municipio": "Dolores Hidalgo Cuna de la Independencia Nacional",
    "estadoId": 11,
    "estado": "Guanajuato"
  },
  {
    "id": 110140006,
    "codigoPostal": "37803",
    "colonia": "Nuevo Milenio",
    "tipo": "Colonia",
    "municipioId": 11014,
    "municipio": "Dolores Hidalgo Cuna de la Independencia Nacional",
    "estadoId": 11,
    "estado": "Guanajuato"
  },
  {
    "id": 110140047,
    "codigoPostal": "37803",
    "colonia": "Rancho Verde",
    "tipo": "Colonia",
    "municipioId": 11014,
    "municipio": "Dolores Hidalgo Cuna de la Independencia Nacional",
    "estadoId": 11,
    "estado": "Guanajuato"
  },
  {
    "id": 110144191,
    "codigoPostal": "37803",
    "colonia": "SOP",
    "tipo": "Colonia",
    "municipioId": 11014,
    "municipio": "Dolores Hidalgo Cuna de la Independencia Nacional",
    "estadoId": 11,
    "estado": "Guanajuato"
  },
  {
    "id": 110144189,
    "codigoPostal": "37803",
    "colonia": "San Antonio del Carmen",
    "tipo": "Colonia",
    "municipioId": 11014,
    "municipio": "Dolores Hidalgo Cuna de la Independencia Nacional",
    "estadoId": 11,
    "estado": "Guanajuato"
  },
  {
    "id": 110140034,
    "codigoPostal": "37803",
    "colonia": "Todos los Santos",
    "tipo": "Fraccionamiento",
    "municipioId": 11014,
    "municipio": "Dolores Hidalgo Cuna de la Independencia Nacional",
    "estadoId": 11,
    "estado": "Guanajuato"
  },
  {
    "id": 110140010,
    "codigoPostal": "37803",
    "colonia": "Universidad",
    "tipo": "Colonia",
    "municipioId": 11014,
    "municipio": "Dolores Hidalgo Cuna de la Independencia Nacional",
    "estadoId": 11,
    "estado": "Guanajuato"
  },
  {
    "id": 110140011,
    "codigoPostal": "37803",
    "colonia": "Valle Verde",
    "tipo": "Fraccionamiento",
    "municipioId": 11014,
    "municipio": "Dolores Hidalgo Cuna de la Independencia Nacional",
    "estadoId": 11,
    "estado": "Guanajuato"
  },
  {
    "id": 110144196,
    "codigoPostal": "37803",
    "colonia": "Vista Hermosa",
    "tipo": "Colonia",
    "municipioId": 11014,
    "municipio": "Dolores Hidalgo Cuna de la Independencia Nacional",
    "estadoId": 11,
    "estado": "Guanajuato"
  }
]</t>
  </si>
  <si>
    <t>Tests (1), Passed: 1, Failed: 0
PASS — Asentamiento esperado</t>
  </si>
  <si>
    <t>CAT-006</t>
  </si>
  <si>
    <t>CP-007 — Codigo postal Nancy</t>
  </si>
  <si>
    <t>9/10/2026, 11:29:58</t>
  </si>
  <si>
    <t>Agustin Parra</t>
  </si>
  <si>
    <t>Las altas ya existentes pueden devolver 409 cuando el caso espera 201.</t>
  </si>
  <si>
    <t>Autenticacion y seguridad</t>
  </si>
  <si>
    <t>HTTP 200
[
  {
    "id": 110333876,
    "codigoPostal": "37903",
    "colonia": "Banda de Abajo",
    "tipo": "Colonia",
    "municipioId": 11033,
    "municipio": "San Luis de la Paz",
    "estadoId": 11,
    "estado": "Guanajuato"
  },
  {
    "id": 110333883,
    "codigoPostal": "37903",
    "colonia": "Banda de Arriba",
    "tipo": "Colonia",
    "municipioId": 11033,
    "municipio": "San Luis de la Paz",
    "estadoId": 11,
    "estado": "Guanajuato"
  },
  {
    "id": 110330004,
    "codigoPostal": "37903",
    "colonia": "Dos Plazas",
    "tipo": "Fraccionamiento",
    "municipioId": 11033,
    "municipio": "San Luis de la Paz",
    "estadoId": 11,
    "estado": "Guanajuato"
  },
  {
    "id": 110333887,
    "codigoPostal": "37903",
    "colonia": "Insurgentes",
    "tipo": "Colonia",
    "municipioId": 11033,
    "municipio": "San Luis de la Paz",
    "estadoId": 11,
    "estado": "Guanajuato"
  },
  {
    "id": 110333882,
    "codigoPostal": "37903",
    "colonia": "La Panorámica",
    "tipo": "Colonia",
    "municipioId": 11033,
    "municipio": "San Luis de la Paz",
    "estadoId": 11,
    "estado": "Guanajuato"
  },
  {
    "id": 110338783,
    "codigoPostal": "37903",
    "colonia": "La Quinta",
    "tipo": "Colonia",
    "municipioId": 11033,
    "municipio": "San Luis de la Paz",
    "estadoId": 11,
    "estado": "Guanajuato"
  },
  {
    "id": 110338395,
    "codigoPostal": "37903",
    "colonia": "Lomas de Santa Elena",
    "tipo": "Colonia",
    "municipioId": 11033,
    "municipio": "San Luis de la Paz",
    "estadoId": 11,
    "estado": "Guanajuato"
  },
  {
    "id": 110333884,
    "codigoPostal": "37903",
    "colonia": "Planta Solar",
    "tipo": "Colonia",
    "municipioId": 11033,
    "municipio": "San Luis de la Paz",
    "estadoId": 11,
    "estado": "Guanajuato"
  },
  {
    "id": 110333872,
    "codigoPostal": "37903",
    "colonia": "San Luisito",
    "tipo": "Colonia",
    "municipioId": 11033,
    "municipio": "San Luis de la Paz",
    "estadoId": 11,
    "estado": "Guanajuato"
  },
  {
    "id": 110338788,
    "codigoPostal": "37903",
    "colonia": "Santa Cruz",
    "tipo": "Colonia",
    "municipioId": 11033,
    "municipio": "San Luis de la Paz",
    "estadoId": 11,
    "estado": "Guanajuato"
  },
  {
    "id": 110338759,
    "codigoPostal": "37903",
    "colonia": "Santa Elena",
    "tipo": "Colonia",
    "municipioId": 11033,
    "municipio": "San Luis de la Paz",
    "estadoId": 11,
    "estado": "Guanajuato"
  },
  {
    "id": 110338761,
    "codigoPostal": "37903",
    "colonia": "Santa Isabel",
    "tipo": "Colonia",
    "municipioId": 11033,
    "municipio": "San Luis de la Paz",
    "estadoId": 11,
    "estado": "Guanajuato"
  },
  {
    "id": 110333875,
    "codigoPostal": "37903",
    "colonia": "Y Griega",
    "tipo": "Colonia",
    "municipioId": 11033,
    "municipio": "San Luis de la Paz",
    "estadoId": 11,
    "estado": "Guanajuato"
  }
]</t>
  </si>
  <si>
    <t>CAT-007</t>
  </si>
  <si>
    <t>CP-008 — Sexo inexistente</t>
  </si>
  <si>
    <t>tests/bruno/Catalogos/Opciones personales/Sexos.bru</t>
  </si>
  <si>
    <t>HTTP 400
{
  "timestamp": "2026-10-09T11:29:58.83437",
  "status": 400,
  "codigo": "VALIDACION",
  "mensaje": "Selecciona una opción habilitada del catálogo",
  "path": "/clientes",
  "errores": [
    {
      "campo": "sexoId",
      "mensaje": "Selecciona una opción habilitada del catálogo"
    }
  ]
}</t>
  </si>
  <si>
    <t>Tests (1), Passed: 1, Failed: 0
PASS — Rechaza catálogo inválido</t>
  </si>
  <si>
    <t>CAT-008</t>
  </si>
  <si>
    <t>Los totales de paginación son dinámicos.</t>
  </si>
  <si>
    <t>Consultas y paginacion</t>
  </si>
  <si>
    <t>CP-009 — Nacionalidad inexistente</t>
  </si>
  <si>
    <t>HTTP 400
{
  "timestamp": "2026-10-09T11:29:58.8808204",
  "status": 400,
  "codigo": "VALIDACION",
  "mensaje": "Selecciona una opción habilitada del catálogo",
  "path": "/clientes",
  "errores": [
    {
      "campo": "nacionalidadId",
      "mensaje": "Selecciona una opción habilitada del catálogo"
    }
  ]
}</t>
  </si>
  <si>
    <t>CAT-009</t>
  </si>
  <si>
    <t>CP-002</t>
  </si>
  <si>
    <t>CP-010 — Pais inexistente</t>
  </si>
  <si>
    <t>Nacionalidades</t>
  </si>
  <si>
    <t>HTTP 400
{
  "timestamp": "2026-10-09T11:29:58.9243281",
  "status": 400,
  "codigo": "VALIDACION",
  "mensaje": "Selecciona una opción habilitada del catálogo",
  "path": "/clientes",
  "errores": [
    {
      "campo": "domicilio.paisId",
      "mensaje": "Selecciona una opción habilitada del catálogo"
    }
  ]
}</t>
  </si>
  <si>
    <t>/catalogos/nacionalidades</t>
  </si>
  <si>
    <t>CAT-010</t>
  </si>
  <si>
    <t>Lista pública de nacionalidades disponibles.</t>
  </si>
  <si>
    <t>CP-011 — Estado civil inexistente</t>
  </si>
  <si>
    <t>Sofía y Nancy fueron registradas y sus consultas ejecutadas en esta corrida.</t>
  </si>
  <si>
    <t>Mantenimiento de clientes</t>
  </si>
  <si>
    <t>HTTP 400
{
  "timestamp": "2026-10-09T11:29:58.9662583",
  "status": 400,
  "codigo": "VALIDACION",
  "mensaje": "Selecciona una opción habilitada del catálogo",
  "path": "/clientes",
  "errores": [
    {
      "campo": "estadoCivilId",
      "mensaje": "Selecciona una opción habilitada del catálogo"
    }
  ]
}</t>
  </si>
  <si>
    <t>HTTP 200; Tests: 1 aprobados, 0 fallidos. 18 ms.</t>
  </si>
  <si>
    <t>CAT-011</t>
  </si>
  <si>
    <t>CP-012 — Id de catalogo con tipo incorrecto</t>
  </si>
  <si>
    <t>HTTP 400
{
  "timestamp": "2026-10-09T11:29:58.9981243",
  "status": 400,
  "codigo": "JSON_INVALIDO",
  "mensaje": "JSON, tipo de dato o fecha inválidos",
  "path": "/clientes",
  "errores": [
    {
      "campo": "sexoId",
      "mensaje": "Verifica el tipo y formato; fechas YYYY-MM-DD, texto entre comillas e ingreso numérico"
    }
  ]
}</t>
  </si>
  <si>
    <t>CAT-012</t>
  </si>
  <si>
    <t>tests/bruno/Catalogos/Opciones personales/Nacionalidades.bru</t>
  </si>
  <si>
    <t>CP-013 — Asentamiento de otro codigo postal</t>
  </si>
  <si>
    <t>HTTP 400
{
  "timestamp": "2026-10-09T11:29:59.0527522",
  "status": 400,
  "codigo": "VALIDACION",
  "mensaje": "El asentamiento no corresponde al código postal",
  "path": "/clientes",
  "errores": [
    {
      "campo": "domicilio.asentamientoId",
      "mensaje": "El asentamiento no corresponde al código postal"
    }
  ]
}</t>
  </si>
  <si>
    <t>CP-003</t>
  </si>
  <si>
    <t>Token anterior revocado: probar antes de expiresAt en otro perfil QA.</t>
  </si>
  <si>
    <t>Catalogo del proveedor GestoPago</t>
  </si>
  <si>
    <t>REG-001</t>
  </si>
  <si>
    <t>Paises</t>
  </si>
  <si>
    <t>CP-014 — Registro valido</t>
  </si>
  <si>
    <t>/catalogos/paises</t>
  </si>
  <si>
    <t>HTTP 409
{
  "timestamp": "2026-10-09T11:29:59.1113744",
  "status": 409,
  "codigo": "DATO_DUPLICADO",
  "mensaje": "Ya existe un cliente con este dato",
  "path": "/clientes",
  "errores": [
    {
      "campo": "curp",
      "mensaje": "Ya existe un cliente con este dato"
    }
  ]
}</t>
  </si>
  <si>
    <t>Tests (2), Passed: 0, Failed: 2
FAIL — HTTP esperado — expected 409 to equal 201
FAIL — Cliente y cuenta generados — expected undefined to be a number</t>
  </si>
  <si>
    <t>Alta repetida: el perfil ya existe. Se esperaba 201.</t>
  </si>
  <si>
    <t>REG-002</t>
  </si>
  <si>
    <t>Lista pública de países disponibles.</t>
  </si>
  <si>
    <t>CP-015 — Registro Sofia</t>
  </si>
  <si>
    <t>HTTP 200; Tests: 1 aprobados, 0 fallidos. 19 ms.</t>
  </si>
  <si>
    <t>HTTP 201
{
  "clienteId": 8,
  "estatus": "ACTIVO",
  "cuenta": {
    "numeroCuenta": "00000000000000000008",
    "saldo": 0,
    "estatus": "ACTIVA"
  },
  "usuario": {
    "usuarioId": 7,
    "correo": "sofia.jimena.salazar.godinez.qa@gmail.com",
    "activo": true
  }
}</t>
  </si>
  <si>
    <t>Tests (1), Passed: 1, Failed: 0
PASS — Cliente, usuario y cuenta creados</t>
  </si>
  <si>
    <t>REG-003</t>
  </si>
  <si>
    <t>CP-016 — Registro Nancy</t>
  </si>
  <si>
    <t>Casos y criterios: colección tests/bruno y documentación del proyecto.</t>
  </si>
  <si>
    <t>Resultados: conversación manual del 08/10/2026 y reportes identificados.</t>
  </si>
  <si>
    <t>HTTP 201
{
  "clienteId": 9,
  "estatus": "ACTIVO",
  "cuenta": {
    "numeroCuenta": "00000000000000000009",
    "saldo": 0,
    "estatus": "ACTIVA"
  },
  "usuario": {
    "usuarioId": 8,
    "correo": "nancy.guadalupe.enriquez.parra.qa@hotmail.com",
    "activo": true
  }
}</t>
  </si>
  <si>
    <t>Soporte disponible</t>
  </si>
  <si>
    <t>Las pruebas Java previas no acreditan ejecución manual de toda la colección.</t>
  </si>
  <si>
    <t>Captura</t>
  </si>
  <si>
    <t>E-001</t>
  </si>
  <si>
    <t>CP-017 — Registro Dulce</t>
  </si>
  <si>
    <t>tests/bruno/Catalogos/Opciones personales/Paises.bru</t>
  </si>
  <si>
    <t>HTTP 409
{
  "timestamp": "2026-10-09T11:30:00.1994433",
  "status": 409,
  "codigo": "DATO_DUPLICADO",
  "mensaje": "Ya existe un cliente con este dato",
  "path": "/clientes",
  "errores": [
    {
      "campo": "curp",
      "mensaje": "Ya existe un cliente con este dato"
    }
  ]
}</t>
  </si>
  <si>
    <t>Tests (1), Passed: 0, Failed: 1
FAIL — Cliente, usuario y cuenta creados — expected 409 to equal 201</t>
  </si>
  <si>
    <t>CP-004</t>
  </si>
  <si>
    <t>Las capturas originales se conservan sin modificar en evidencias/.</t>
  </si>
  <si>
    <t>Respuesta en conversación</t>
  </si>
  <si>
    <t>REG-004</t>
  </si>
  <si>
    <t>CP-018 — Nombre invalido</t>
  </si>
  <si>
    <t>Estados civiles</t>
  </si>
  <si>
    <t>Las celdas editables K:R tienen fondo ámbar claro.</t>
  </si>
  <si>
    <t>HTTP 400
{
  "timestamp": "2026-10-09T11:30:00.3116007",
  "status": 400,
  "codigo": "VALIDACION",
  "mensaje": "Revisa los campos de la petición",
  "path": "/clientes",
  "errores": [
    {
      "campo": "password",
      "mensaje": "La contraseña requiere al menos 8 caracteres, mayúscula, minúscula, número y carácter especial; sin espacios y máximo 72 bytes UTF-8"
    },
    {
      "campo": "nombre",
      "mensaje": "must match \"[\\p{L} ]+\""
    }
  ]
}</t>
  </si>
  <si>
    <t>Reporte del usuario</t>
  </si>
  <si>
    <t>/catalogos/estados-civiles</t>
  </si>
  <si>
    <t>Tests (2), Passed: 2, Failed: 0
PASS — HTTP esperado
PASS — Campo rechazado</t>
  </si>
  <si>
    <t>REG-005</t>
  </si>
  <si>
    <t>Reporte previo</t>
  </si>
  <si>
    <t>Lista pública de estados civiles disponibles.</t>
  </si>
  <si>
    <t>CP-019 — Menor de edad</t>
  </si>
  <si>
    <t>HTTP 200; Tests: 1 aprobados, 0 fallidos. 24 ms.</t>
  </si>
  <si>
    <t>HTTP 400
{
  "timestamp": "2026-10-09T11:30:00.3471697",
  "status": 400,
  "codigo": "VALIDACION",
  "mensaje": "El cliente debe tener al menos 18 años",
  "path": "/clientes",
  "errores": [
    {
      "campo": "fechaNacimiento",
      "mensaje": "El cliente debe tener al menos 18 años"
    }
  ]
}</t>
  </si>
  <si>
    <t>Sin evidencia</t>
  </si>
  <si>
    <t>REG-006</t>
  </si>
  <si>
    <t>CP-020 — Ingreso con tipo incorrecto</t>
  </si>
  <si>
    <t>tests/bruno/Catalogos/Opciones personales/Estados civiles.bru</t>
  </si>
  <si>
    <t>HTTP 400
{
  "timestamp": "2026-10-09T11:30:00.3671433",
  "status": 400,
  "codigo": "JSON_INVALIDO",
  "mensaje": "JSON, tipo de dato o fecha inválidos",
  "path": "/clientes",
  "errores": [
    {
      "campo": "informacionLaboral.ingresoMensual",
      "mensaje": "Verifica el tipo y formato; fechas YYYY-MM-DD, texto entre comillas e ingreso numérico"
    }
  ]
}</t>
  </si>
  <si>
    <t>CP-005</t>
  </si>
  <si>
    <t>REG-007</t>
  </si>
  <si>
    <t>CP-021 — Password invalida</t>
  </si>
  <si>
    <t>Domicilios</t>
  </si>
  <si>
    <t>Codigo postal</t>
  </si>
  <si>
    <t>HTTP 400
{
  "timestamp": "2026-10-09T11:30:00.386822",
  "status": 400,
  "codigo": "VALIDACION",
  "mensaje": "Revisa los campos de la petición",
  "path": "/clientes",
  "errores": [
    {
      "campo": "password",
      "mensaje": "La contraseña requiere al menos 8 caracteres, mayúscula, minúscula, número y carácter especial; sin espacios y máximo 72 bytes UTF-8"
    }
  ]
}</t>
  </si>
  <si>
    <t>/catalogos/codigos-postales/37907</t>
  </si>
  <si>
    <t>REG-008</t>
  </si>
  <si>
    <t>Consulta 37907 y verifica respuesta postal disponible.</t>
  </si>
  <si>
    <t>CP-022 — Password ausente</t>
  </si>
  <si>
    <t>HTTP 200; Tests: 1 aprobados, 0 fallidos. 77 ms.</t>
  </si>
  <si>
    <t>HTTP 400
{
  "timestamp": "2026-10-09T11:30:00.4168966",
  "status": 400,
  "codigo": "VALIDACION",
  "mensaje": "Revisa los campos de la petición",
  "path": "/clientes",
  "errores": [
    {
      "campo": "password",
      "mensaje": "La contraseña requiere al menos 8 caracteres, mayúscula, minúscula, número y carácter especial; sin espacios y máximo 72 bytes UTF-8"
    }
  ]
}</t>
  </si>
  <si>
    <t>REG-009</t>
  </si>
  <si>
    <t>CP-023 — Password tipo incorrecto</t>
  </si>
  <si>
    <t>HTTP 400
{
  "timestamp": "2026-10-09T11:30:00.4417213",
  "status": 400,
  "codigo": "VALIDACION",
  "mensaje": "Revisa los campos de la petición",
  "path": "/clientes",
  "errores": [
    {
      "campo": "password",
      "mensaje": "La contraseña requiere al menos 8 caracteres, mayúscula, minúscula, número y carácter especial; sin espacios y máximo 72 bytes UTF-8"
    }
  ]
}</t>
  </si>
  <si>
    <t>tests/bruno/Catalogos/Domicilios/Codigo postal.bru</t>
  </si>
  <si>
    <t>REG-010</t>
  </si>
  <si>
    <t>CP-024 — CURP duplicada</t>
  </si>
  <si>
    <t>CP-006</t>
  </si>
  <si>
    <t>HTTP 409
{
  "timestamp": "2026-10-09T11:30:00.4929963",
  "status": 409,
  "codigo": "DATO_DUPLICADO",
  "mensaje": "Ya existe un cliente con este dato",
  "path": "/clientes",
  "errores": [
    {
      "campo": "curp",
      "mensaje": "Ya existe un cliente con este dato"
    }
  ]
}</t>
  </si>
  <si>
    <t>Codigo postal Sofia</t>
  </si>
  <si>
    <t>REG-011</t>
  </si>
  <si>
    <t>CP-025 — RFC duplicado</t>
  </si>
  <si>
    <t>/catalogos/codigos-postales/37803</t>
  </si>
  <si>
    <t>HTTP 409
{
  "timestamp": "2026-10-09T11:30:00.5433375",
  "status": 409,
  "codigo": "DATO_DUPLICADO",
  "mensaje": "Ya existe un cliente con este dato",
  "path": "/clientes",
  "errores": [
    {
      "campo": "curp",
      "mensaje": "Ya existe un cliente con este dato"
    }
  ]
}</t>
  </si>
  <si>
    <t>Tests (2), Passed: 1, Failed: 1
PASS — HTTP esperado
FAIL — Campo rechazado — expected [ 'curp' ] to include 'rfc'</t>
  </si>
  <si>
    <t>Rechaza CURP duplicada antes del campo que comprueba este caso.</t>
  </si>
  <si>
    <t>CP 37803 contiene asentamiento 110140023.</t>
  </si>
  <si>
    <t>REG-012</t>
  </si>
  <si>
    <t>HTTP 200; Tests: 1 aprobados, 0 fallidos. 21 ms.</t>
  </si>
  <si>
    <t>CP-026 — Correo duplicado</t>
  </si>
  <si>
    <t>HTTP 409
{
  "timestamp": "2026-10-09T11:30:00.5946783",
  "status": 409,
  "codigo": "DATO_DUPLICADO",
  "mensaje": "Ya existe un cliente con este dato",
  "path": "/clientes",
  "errores": [
    {
      "campo": "curp",
      "mensaje": "Ya existe un cliente con este dato"
    }
  ]
}</t>
  </si>
  <si>
    <t>Tests (2), Passed: 1, Failed: 1
PASS — HTTP esperado
FAIL — Campo rechazado — expected [ 'curp' ] to include 'correoElectronico'</t>
  </si>
  <si>
    <t>AUTO-CP-027</t>
  </si>
  <si>
    <t>CP-027 — Login valido</t>
  </si>
  <si>
    <t>tests/bruno/Catalogos/Domicilios/Codigo postal Sofia.bru</t>
  </si>
  <si>
    <t>HTTP 200
{
  "accessToken": "[omitido por seguridad]",
  "tokenType": "Bearer",
  "expiresIn": 300,
  "expiresAt": "2026-10-09T17:35:00.858244400Z"
}</t>
  </si>
  <si>
    <t>Tests (2), Passed: 2, Failed: 0
PASS — HTTP esperado
PASS — JWT recibido</t>
  </si>
  <si>
    <t>CP-007</t>
  </si>
  <si>
    <t>AUT-001</t>
  </si>
  <si>
    <t>CP-028 — Perfil autenticado</t>
  </si>
  <si>
    <t>Codigo postal Nancy</t>
  </si>
  <si>
    <t>HTTP 200
{
  "usuarioId": 2,
  "clienteId": 3,
  "correo": "agustinlopezparra13@gmail.com",
  "activo": true,
  "rol": "CLIENTE"
}</t>
  </si>
  <si>
    <t>Tests (2), Passed: 2, Failed: 0
PASS — HTTP esperado
PASS — Perfil propio sin hash</t>
  </si>
  <si>
    <t>/catalogos/codigos-postales/37903</t>
  </si>
  <si>
    <t>AUT-002</t>
  </si>
  <si>
    <t>CP-029 — Login formato invalido</t>
  </si>
  <si>
    <t>CP 37903 contiene asentamiento 110333883.</t>
  </si>
  <si>
    <t>HTTP 400
{
  "timestamp": "2026-10-09T11:30:00.9971537",
  "status": 400,
  "codigo": "JSON_INVALIDO",
  "mensaje": "JSON, tipo de dato o fecha inválidos",
  "path": "/auth/login",
  "errores": [
    {
      "campo": "password",
      "mensaje": "Verifica el tipo y formato; fechas YYYY-MM-DD, texto entre comillas e ingreso numérico"
    }
  ]
}</t>
  </si>
  <si>
    <t>Tests (1), Passed: 1, Failed: 0
PASS — HTTP esperado</t>
  </si>
  <si>
    <t>AUT-003</t>
  </si>
  <si>
    <t>CP-030 — Login inexistente</t>
  </si>
  <si>
    <t>HTTP 401
{
  "timestamp": "2026-10-09T11:30:01.291083",
  "status": 401,
  "codigo": "CREDENCIALES_INVALIDAS",
  "mensaje": "Credenciales inválidas o acceso no disponible",
  "path": "/auth/login",
  "errores": []
}</t>
  </si>
  <si>
    <t>Tests (2), Passed: 2, Failed: 0
PASS — HTTP esperado
PASS — Error controlado</t>
  </si>
  <si>
    <t>AUT-004</t>
  </si>
  <si>
    <t>CP-031 — Perfil sin token</t>
  </si>
  <si>
    <t>HTTP 401
{
  "timestamp": "2026-10-09T11:30:01.3169783",
  "status": 401,
  "codigo": "NO_AUTENTICADO",
  "mensaje": "Token ausente, inválido o acceso no disponible",
  "path": "/auth/me",
  "errores": []
}</t>
  </si>
  <si>
    <t>tests/bruno/Catalogos/Domicilios/Codigo postal Nancy.bru</t>
  </si>
  <si>
    <t>AUT-005</t>
  </si>
  <si>
    <t>CP-032 — Token alterado</t>
  </si>
  <si>
    <t>CP-008</t>
  </si>
  <si>
    <t>HTTP 401
{
  "timestamp": "2026-10-09T11:30:01.3391599",
  "status": 401,
  "codigo": "NO_AUTENTICADO",
  "mensaje": "Token ausente, inválido o acceso no disponible",
  "path": "/auth/me",
  "errores": []
}</t>
  </si>
  <si>
    <t>Validaciones</t>
  </si>
  <si>
    <t>Sexo inexistente</t>
  </si>
  <si>
    <t>POST</t>
  </si>
  <si>
    <t>/clientes</t>
  </si>
  <si>
    <t>AUT-006</t>
  </si>
  <si>
    <t>CP-033 — Token vencido</t>
  </si>
  <si>
    <t>HTTP 401
{
  "timestamp": "2026-10-09T11:34:59.5849645",
  "status": 401,
  "codigo": "NO_AUTENTICADO",
  "mensaje": "Token ausente, inválido o acceso no disponible",
  "path": "/auth/me",
  "errores": []
}</t>
  </si>
  <si>
    <t>400 VALIDACION con error en sexoId; no crear registros.</t>
  </si>
  <si>
    <t>HTTP 400; Tests: 1 aprobados, 0 fallidos. 249 ms.</t>
  </si>
  <si>
    <t>AUT-007</t>
  </si>
  <si>
    <t>CP-034 — Operacion sin permiso</t>
  </si>
  <si>
    <t>HTTP 403
{
  "timestamp": "2026-10-09T11:30:01.386826",
  "status": 403,
  "codigo": "ACCESO_DENEGADO",
  "mensaje": "No tienes permiso para esta operación",
  "path": "/personas",
  "errores": []
}</t>
  </si>
  <si>
    <t>AUT-008</t>
  </si>
  <si>
    <t>CP-035 — Registro usuario para bloqueo</t>
  </si>
  <si>
    <t>tests/bruno/Catalogos/Validaciones/Sexo inexistente.bru</t>
  </si>
  <si>
    <t>HTTP 201
{
  "clienteId": 10,
  "estatus": "ACTIVO",
  "cuenta": {
    "numeroCuenta": "00000000000000000010",
    "saldo": 0,
    "estatus": "ACTIVA"
  },
  "usuario": {
    "usuarioId": 9,
    "correo": "qa.bloqueo.mv18qen6@example.com",
    "activo": true
  }
}</t>
  </si>
  <si>
    <t>Perfil QA nuevo para bloqueo.</t>
  </si>
  <si>
    <t>CP-009</t>
  </si>
  <si>
    <t>AUT-009</t>
  </si>
  <si>
    <t>CP-036 — Login usuario de bloqueo</t>
  </si>
  <si>
    <t>Nacionalidad inexistente</t>
  </si>
  <si>
    <t>HTTP 200
{
  "accessToken": "[omitido por seguridad]",
  "tokenType": "Bearer",
  "expiresIn": 300,
  "expiresAt": "2026-10-09T17:35:02.480584800Z"
}</t>
  </si>
  <si>
    <t>AUT-010</t>
  </si>
  <si>
    <t>CP-037 — Intento incorrecto usuario de bloqueo</t>
  </si>
  <si>
    <t>400 VALIDACION con error en nacionalidadId; no crear registros.</t>
  </si>
  <si>
    <t>HTTP 400; Tests: 1 aprobados, 0 fallidos. 25 ms.</t>
  </si>
  <si>
    <t>HTTP 401
{
  "timestamp": "2026-10-09T11:30:02.773603",
  "status": 401,
  "codigo": "CREDENCIALES_INVALIDAS",
  "mensaje": "Credenciales inválidas o acceso no disponible",
  "path": "/auth/login",
  "errores": []
}</t>
  </si>
  <si>
    <t>AUT-011</t>
  </si>
  <si>
    <t>CP-038 — Login usuario bloqueado</t>
  </si>
  <si>
    <t>HTTP 401
{
  "timestamp": "2026-10-09T11:30:03.5286455",
  "status": 401,
  "codigo": "CREDENCIALES_INVALIDAS",
  "mensaje": "Credenciales inválidas o acceso no disponible",
  "path": "/auth/login",
  "errores": []
}</t>
  </si>
  <si>
    <t>tests/bruno/Catalogos/Validaciones/Nacionalidad inexistente.bru</t>
  </si>
  <si>
    <t>AUT-012</t>
  </si>
  <si>
    <t>CP-010</t>
  </si>
  <si>
    <t>CP-039 — Token usuario bloqueado</t>
  </si>
  <si>
    <t>Pais inexistente</t>
  </si>
  <si>
    <t>HTTP 401
{
  "timestamp": "2026-10-09T11:30:03.5623032",
  "status": 401,
  "codigo": "NO_AUTENTICADO",
  "mensaje": "Token ausente, inválido o acceso no disponible",
  "path": "/auth/me",
  "errores": []
}</t>
  </si>
  <si>
    <t>400 VALIDACION con error en domicilio.paisId; no crear registros.</t>
  </si>
  <si>
    <t>AUT-013</t>
  </si>
  <si>
    <t>HTTP 400; Tests: 1 aprobados, 0 fallidos. 34 ms.</t>
  </si>
  <si>
    <t>CP-040 — Login Sofia</t>
  </si>
  <si>
    <t>HTTP 200
{
  "accessToken": "[omitido por seguridad]",
  "tokenType": "Bearer",
  "expiresIn": 300,
  "expiresAt": "2026-10-09T17:35:03.821401600Z"
}</t>
  </si>
  <si>
    <t>Tests (1), Passed: 1, Failed: 0
PASS — JWT recibido</t>
  </si>
  <si>
    <t>AUT-014</t>
  </si>
  <si>
    <t>CP-041 — Perfil Sofia</t>
  </si>
  <si>
    <t>tests/bruno/Catalogos/Validaciones/Pais inexistente.bru</t>
  </si>
  <si>
    <t>HTTP 200
{
  "usuarioId": 7,
  "clienteId": 8,
  "correo": "sofia.jimena.salazar.godinez.qa@gmail.com",
  "activo": true,
  "rol": "CLIENTE"
}</t>
  </si>
  <si>
    <t>Tests (1), Passed: 1, Failed: 0
PASS — Perfil CLIENTE propio</t>
  </si>
  <si>
    <t>AUT-015</t>
  </si>
  <si>
    <t>CP-011</t>
  </si>
  <si>
    <t>CP-042 — Login Nancy</t>
  </si>
  <si>
    <t>HTTP 200
{
  "accessToken": "[omitido por seguridad]",
  "tokenType": "Bearer",
  "expiresIn": 300,
  "expiresAt": "2026-10-09T17:35:04.147125900Z"
}</t>
  </si>
  <si>
    <t>Estado civil inexistente</t>
  </si>
  <si>
    <t>AUT-016</t>
  </si>
  <si>
    <t>CP-043 — Perfil Nancy</t>
  </si>
  <si>
    <t>HTTP 200
{
  "usuarioId": 8,
  "clienteId": 9,
  "correo": "nancy.guadalupe.enriquez.parra.qa@hotmail.com",
  "activo": true,
  "rol": "CLIENTE"
}</t>
  </si>
  <si>
    <t>400 VALIDACION con error en estadoCivilId; no crear registros.</t>
  </si>
  <si>
    <t>AUT-017</t>
  </si>
  <si>
    <t>HTTP 400; Tests: 1 aprobados, 0 fallidos. 33 ms.</t>
  </si>
  <si>
    <t>CP-044 — Login Dulce</t>
  </si>
  <si>
    <t>HTTP 200
{
  "accessToken": "[omitido por seguridad]",
  "tokenType": "Bearer",
  "expiresIn": 300,
  "expiresAt": "2026-10-09T17:35:04.436934300Z"
}</t>
  </si>
  <si>
    <t>AUT-018</t>
  </si>
  <si>
    <t>CP-045 — Perfil Dulce</t>
  </si>
  <si>
    <t>HTTP 200
{
  "usuarioId": 6,
  "clienteId": 7,
  "correo": "dulce.maria.lopez.parra.qa@gmail.com",
  "activo": true,
  "rol": "CLIENTE"
}</t>
  </si>
  <si>
    <t>tests/bruno/Catalogos/Validaciones/Estado civil inexistente.bru</t>
  </si>
  <si>
    <t>CON-001</t>
  </si>
  <si>
    <t>CP-012</t>
  </si>
  <si>
    <t>CP-046 — Registro ejecutivo de prueba</t>
  </si>
  <si>
    <t>Id de catalogo con tipo incorrecto</t>
  </si>
  <si>
    <t>HTTP 409
{
  "timestamp": "2026-10-09T11:30:04.54085",
  "status": 409,
  "codigo": "DATO_DUPLICADO",
  "mensaje": "Ya existe un cliente con este dato",
  "path": "/clientes",
  "errores": [
    {
      "campo": "curp",
      "mensaje": "Ya existe un cliente con este dato"
    }
  ]
}</t>
  </si>
  <si>
    <t>Tests (1), Passed: 1, Failed: 0
PASS — Registro de preparación o duplicado conocido</t>
  </si>
  <si>
    <t>E-007</t>
  </si>
  <si>
    <t>CP-047 — Login ejecutivo</t>
  </si>
  <si>
    <t>400 JSON_INVALIDO con campo sexoId al enviar una cadena.</t>
  </si>
  <si>
    <t>HTTP 200
{
  "accessToken": "[omitido por seguridad]",
  "tokenType": "Bearer",
  "expiresIn": 300,
  "expiresAt": "2026-10-09T17:35:04.777279500Z"
}</t>
  </si>
  <si>
    <t>HTTP 400; Tests: 1 aprobados, 0 fallidos. 23 ms.</t>
  </si>
  <si>
    <t>E-008</t>
  </si>
  <si>
    <t>CP-048 — Perfil ejecutivo</t>
  </si>
  <si>
    <t>HTTP 200
{
  "usuarioId": 4,
  "clienteId": 5,
  "correo": "agustin.ejecutivo@example.com",
  "activo": true,
  "rol": "EJECUTIVO"
}</t>
  </si>
  <si>
    <t>Tests (2), Passed: 2, Failed: 0
PASS — HTTP esperado
PASS — Rol ejecutivo confirmado</t>
  </si>
  <si>
    <t>tests/bruno/Catalogos/Validaciones/Id de catalogo con tipo incorrecto.bru</t>
  </si>
  <si>
    <t>AUTO-CP-049</t>
  </si>
  <si>
    <t>CP-049 — Ficha del ejecutivo</t>
  </si>
  <si>
    <t>CP-013</t>
  </si>
  <si>
    <t>HTTP 200
{
  "cliente": {
    "clienteId": 5,
    "nombre": "Agustín",
    "segundoNombre": null,
    "apellidoPaterno": "López",
    "apellidoMaterno": "Parra",
    "curp": "LOPA040905HGTXXX09",
    "rfc": "LOPA040905ZZ1",
    "correo": "agustin.ejecutivo@example.com",
    "estatus": "ACTIVO",
    "fechaRegistro": "2026-10-08T18:39:52.414006"
  },
  "fechaNacimiento": "2004-09-05",
  "sexoId": 1,
  "nacionalidadId": 1,
  "estadoCivilId": 7,
  "telefonoMovil": "4681134553",
  "telefonoAlternativo": null,
  "domicilio": {
    "calle": "Guerrero",
    "numeroExterior": "843",
    "numeroInterior": null,
    "colonia": "San Isidro",
    "municipio": "San Luis de la Paz",
    "estado": "Guanajuato",
    "codigoPostal": "37907",
    "paisId": 1,
    "asentamientoId": 110333891
  },
  "informacionLaboral": {
    "ocupacion": "Tester / QA",
    "empresa": "Empresa de prueba",
    "ingresoMensual": 15000.5
  },
  "cuentas": [
    {
      "numeroCuenta": "00000000000000000005",
      "clienteId": 5,
      "saldo": 0,
      "estatus": "ACTIVA",
      "fechaCreacion": "2026-10-08T18:39:52.473116"
    }
  ]
}</t>
  </si>
  <si>
    <t>Tests (1), Passed: 1, Failed: 0
PASS — Ficha del ejecutivo correcta</t>
  </si>
  <si>
    <t>Asentamiento de otro codigo postal</t>
  </si>
  <si>
    <t>AUTO-CP-050</t>
  </si>
  <si>
    <t>CP-050 — Mi cliente</t>
  </si>
  <si>
    <t>HTTP 200
{
  "cliente": {
    "clienteId": 3,
    "nombre": "Agustín",
    "segundoNombre": null,
    "apellidoPaterno": "López",
    "apellidoMaterno": "Parra",
    "curp": "LOPA040905HGTPRGA7",
    "rfc": "LOPA040905MQ3",
    "correo": "agustinlopezparra13@gmail.com",
    "estatus": "ACTIVO",
    "fechaRegistro": null
  },
  "fechaNacimiento": "2004-09-05",
  "sexoId": 1,
  "nacionalidadId": 1,
  "estadoCivilId": 7,
  "telefonoMovil": "4681134553",
  "telefonoAlternativo": null,
  "domicilio": {
    "calle": "Guerrero",
    "numeroExterior": "843",
    "numeroInterior": null,
    "colonia": "San Isidro",
    "municipio": "San Luis de la Paz",
    "estado": "Guanajuato",
    "codigoPostal": "37907",
    "paisId": 1,
    "asentamientoId": 110333891
  },
  "informacionLaboral": {
    "ocupacion": "Tester / QA",
    "empresa": "Empresa de prueba",
    "ingresoMensual": 15000.5
  },
  "cuentas": [
    {
      "numeroCuenta": "00000000000000000003",
      "clienteId": 3,
      "saldo": 0,
      "estatus": "ACTIVA",
      "fechaCreacion": "2026-10-08T11:27:25.042862"
    }
  ]
}</t>
  </si>
  <si>
    <t>Tests (2), Passed: 2, Failed: 0
PASS — HTTP esperado
PASS — Detalle propio sin credenciales</t>
  </si>
  <si>
    <t>400 por incompatibilidad entre CP y asentamiento; no persistir el alta.</t>
  </si>
  <si>
    <t>AUTO-CP-051</t>
  </si>
  <si>
    <t>CP-051 — Cliente propio por ID</t>
  </si>
  <si>
    <t>HTTP 400; Tests: 1 aprobados, 0 fallidos. 45 ms.</t>
  </si>
  <si>
    <t>Tests (2), Passed: 2, Failed: 0
PASS — HTTP esperado
PASS — Identidad propia</t>
  </si>
  <si>
    <t>9/10/2026, 11:29:59</t>
  </si>
  <si>
    <t>AUTO-CP-052</t>
  </si>
  <si>
    <t>CP-052 — Mi cuenta</t>
  </si>
  <si>
    <t>HTTP 200
{
  "numeroCuenta": "00000000000000000003",
  "clienteId": 3,
  "saldo": 0,
  "estatus": "ACTIVA",
  "fechaCreacion": "2026-10-08T11:27:25.042862"
}</t>
  </si>
  <si>
    <t>Tests (2), Passed: 2, Failed: 0
PASS — HTTP esperado
PASS — Cuenta propia</t>
  </si>
  <si>
    <t>tests/bruno/Catalogos/Validaciones/Asentamiento de otro codigo postal.bru</t>
  </si>
  <si>
    <t>AUTO-CP-053</t>
  </si>
  <si>
    <t>CP-053 — Mi saldo</t>
  </si>
  <si>
    <t>HTTP 200
{
  "numeroCuenta": "00000000000000000003",
  "saldo": 0
}</t>
  </si>
  <si>
    <t>CP-014</t>
  </si>
  <si>
    <t>Tests (2), Passed: 2, Failed: 0
PASS — HTTP esperado
PASS — Saldo numérico no negativo</t>
  </si>
  <si>
    <t>Altas de clientes</t>
  </si>
  <si>
    <t>Registro valido</t>
  </si>
  <si>
    <t>AUTO-CP-054</t>
  </si>
  <si>
    <t>CP-054 — Mis cuentas</t>
  </si>
  <si>
    <t>HTTP 200
[
  {
    "numeroCuenta": "00000000000000000003",
    "clienteId": 3,
    "saldo": 0,
    "estatus": "ACTIVA",
    "fechaCreacion": "2026-10-08T11:27:25.042862"
  }
]</t>
  </si>
  <si>
    <t>Tests (1), Passed: 1, Failed: 0
PASS — Cuentas del cliente autenticado</t>
  </si>
  <si>
    <t>Revisar que CURP, RFC y correo del fixture no existan. Ejecutar una vez; guardar IDs y cuenta. Una repetición devuelve 409.</t>
  </si>
  <si>
    <t>AUTO-CP-055</t>
  </si>
  <si>
    <t>201; cliente y cuenta generados, número de cuenta de 20 dígitos y saldo inicial 0.</t>
  </si>
  <si>
    <t>CP-055 — Listado paginado ejecutivo</t>
  </si>
  <si>
    <t>HTTP 409; Tests: 0 aprobados, 2 fallidos. 49 ms.</t>
  </si>
  <si>
    <t>HTTP 200
{
  "contenido": [
    {
      "clienteId": 1,
      "nombre": "José",
      "segundoNombre": null,
      "apellidoPaterno": "Pérez",
      "apellidoMaterno": "García",
      "curp": "PEGJ900101HDFRRS09",
      "rfc": "PEGJ900101AB1",
      "correo": "registro.prueba@example.com",
      "estatus": "ACTIVO",
      "fechaRegistro": null
    },
    {
      "clienteId": 2,
      "nombre": "José",
      "segundoNombre": null,
      "apellidoPaterno": "Pérez",
      "apellidoMaterno": "García",
      "curp": "LOPA910202HDFPRS09",
      "rfc": "LOPA910202AB1",
      "correo": "registro.usuario@example.com",
      "estatus": "ACTIVO",
      "fechaRegistro": null
    }
  ],
  "page": 0,
  "size": 2,
  "totalElementos": 10,
  "totalPaginas": 5
}</t>
  </si>
  <si>
    <t>Tests (2), Passed: 2, Failed: 0
PASS — HTTP esperado
PASS — Página inicial, tamaño y totales</t>
  </si>
  <si>
    <t>AUTO-CP-056</t>
  </si>
  <si>
    <t>CP-056 — Siguiente pagina ejecutivo</t>
  </si>
  <si>
    <t>HTTP 200
{
  "contenido": [
    {
      "clienteId": 3,
      "nombre": "Agustín",
      "segundoNombre": null,
      "apellidoPaterno": "López",
      "apellidoMaterno": "Parra",
      "curp": "LOPA040905HGTPRGA7",
      "rfc": "LOPA040905MQ3",
      "correo": "agustinlopezparra13@gmail.com",
      "estatus": "ACTIVO",
      "fechaRegistro": null
    },
    {
      "clienteId": 4,
      "nombre": "Dulce",
      "segundoNombre": "María",
      "apellidoPaterno": "López",
      "apellidoMaterno": "Parra",
      "curp": "LOPD051108MGTPRLA8",
      "rfc": "LOPD051108AB1",
      "correo": "dulce.lopez.parra@example.com",
      "estatus": "ACTIVO",
      "fechaRegistro": null
    }
  ],
  "page": 1,
  "size": 2,
  "totalElementos": 10,
  "totalPaginas": 5
}</t>
  </si>
  <si>
    <t>Tests (1), Passed: 1, Failed: 0
PASS — Página siguiente sin repetir clientes</t>
  </si>
  <si>
    <t>tests/bruno/Registro/Altas de clientes/Registro valido.bru</t>
  </si>
  <si>
    <t>AUTO-CP-057</t>
  </si>
  <si>
    <t>CP-057 — Pagina fuera del resultado</t>
  </si>
  <si>
    <t>CP-015</t>
  </si>
  <si>
    <t>HTTP 200
{
  "contenido": [],
  "page": 5,
  "size": 2,
  "totalElementos": 10,
  "totalPaginas": 5
}</t>
  </si>
  <si>
    <t>Tests (1), Passed: 1, Failed: 0
PASS — Página vacía conserva los totales</t>
  </si>
  <si>
    <t>Registro Sofia</t>
  </si>
  <si>
    <t>AUTO-CP-058</t>
  </si>
  <si>
    <t>CP-058 — Filtro por CURP</t>
  </si>
  <si>
    <t>HTTP 200
{
  "contenido": [
    {
      "clienteId": 3,
      "nombre": "Agustín",
      "segundoNombre": null,
      "apellidoPaterno": "López",
      "apellidoMaterno": "Parra",
      "curp": "LOPA040905HGTPRGA7",
      "rfc": "LOPA040905MQ3",
      "correo": "agustinlopezparra13@gmail.com",
      "estatus": "ACTIVO",
      "fechaRegistro": null
    }
  ],
  "page": 0,
  "size": 20,
  "totalElementos": 1,
  "totalPaginas": 1
}</t>
  </si>
  <si>
    <t>Tests (2), Passed: 2, Failed: 0
PASS — HTTP esperado
PASS — Un cliente encontrado</t>
  </si>
  <si>
    <t>201; cliente, usuario activo y cuenta con saldo 0; sin passwordHash en respuesta.</t>
  </si>
  <si>
    <t>AUTO-CP-059</t>
  </si>
  <si>
    <t>CP-059 — Buscar por RFC</t>
  </si>
  <si>
    <t>HTTP 201; Tests: 1 aprobados, 0 fallidos. 636 ms.</t>
  </si>
  <si>
    <t>tests/bruno/Registro/Altas de clientes/Registro Sofia.bru</t>
  </si>
  <si>
    <t>Tests (2), Passed: 2, Failed: 0
PASS — HTTP esperado
PASS — Cliente identificado</t>
  </si>
  <si>
    <t>CP-016</t>
  </si>
  <si>
    <t>AUTO-CP-060</t>
  </si>
  <si>
    <t>CP-060 — Buscar por cuenta</t>
  </si>
  <si>
    <t>Registro Nancy</t>
  </si>
  <si>
    <t>Tests (2), Passed: 2, Failed: 0
PASS — HTTP esperado
PASS — Cliente de la cuenta</t>
  </si>
  <si>
    <t>AUTO-CP-061</t>
  </si>
  <si>
    <t>CP-061 — Clientes por fechas</t>
  </si>
  <si>
    <t>HTTP 201; Tests: 1 aprobados, 0 fallidos. 368 ms.</t>
  </si>
  <si>
    <t>HTTP 200
{
  "contenido": [
    {
      "clienteId": 5,
      "nombre": "Agustín",
      "segundoNombre": null,
      "apellidoPaterno": "López",
      "apellidoMaterno": "Parra",
      "curp": "LOPA040905HGTXXX09",
      "rfc": "LOPA040905ZZ1",
      "correo": "agustin.ejecutivo@example.com",
      "estatus": "ACTIVO",
      "fechaRegistro": "2026-10-08T18:39:52.414006"
    },
    {
      "clienteId": 6,
      "nombre": "Dulce",
      "segundoNombre": "María",
      "apellidoPaterno": "López",
      "apellidoMaterno": "Parra",
      "curp": "LOPD051108MGTXXX09",
      "rfc": "LOPD051108ZZ2",
      "correo": "dulce.mantenimiento@example.com",
      "estatus": "INACTIVO",
      "fechaRegistro": "2026-10-08T21:43:23.103035"
    },
    {
      "clienteId": 7,
      "nombre": "Dulce",
      "segundoNombre": "María",
      "apellidoPaterno": "López",
      "apellidoMaterno": "Parra",
      "curp": "LOPD051108MGTXXX08",
      "rfc": "LOPD051108ZZ8",
      "correo": "dulce.maria.lopez.parra.qa@gmail.com",
      "estatus": "ACTIVO",
      "fechaRegistro": "2026-10-08T22:44:14.647275"
    },
    {
      "clienteId": 8,
      "nombre": "Sofía",
      "segundoNombre": "Jimena",
      "apellidoPaterno": "Salazar",
      "apellidoMaterno": "Godínez",
      "curp": "SAGS050618MGTLDFA4",
      "rfc": "SAGS050618ZZ4",
      "correo": "sofia.jimena.salazar.godinez.qa@gmail.com",
      "estatus": "ACTIVO",
      "fechaRegistro": "2026-10-09T11:29:59.447632"
    },
    {
      "clienteId": 9,
      "nombre": "Nancy",
      "segundoNombre": "Guadalupe",
      "apellidoPaterno": "Enríquez",
      "apellidoMaterno": "Parra",
      "curp": "EIPN980227MDFNRN03",
      "rfc": "EIPN980227ZZ3",
      "correo": "nancy.guadalupe.enriquez.parra.qa@hotmail.com",
      "estatus": "ACTIVO",
      "fechaRegistro": "2026-10-09T11:30:00.109804"
    },
    {
      "clienteId": 10,
      "nombre": "Dulce",
      "segundoNombre": "María",
      "apellidoPaterno": "López",
      "apellidoMaterno": "Parra",
      "curp": "LOPD051108MGTWTTA2",
      "rfc": "LOPD051108EN7",
      "correo": "qa.bloqueo.mv18qen6@example.com",
      "estatus": "ACTIVO",
      "fechaRegistro": "2026-10-09T11:30:02.158629"
    }
  ],
  "page": 0,
  "size": 20,
  "totalElementos": 6,
  "totalPaginas": 1
}</t>
  </si>
  <si>
    <t>Tests (2), Passed: 2, Failed: 0
PASS — HTTP esperado
PASS — Página y fechas dentro del rango</t>
  </si>
  <si>
    <t>AUTO-CP-062</t>
  </si>
  <si>
    <t>CP-062 — Cuentas activas</t>
  </si>
  <si>
    <t>tests/bruno/Registro/Altas de clientes/Registro Nancy.bru</t>
  </si>
  <si>
    <t>HTTP 200
{
  "contenido": [
    {
      "numeroCuenta": "00000000000000000001",
      "clienteId": 1,
      "saldo": 0,
      "estatus": "ACTIVA",
      "fechaCreacion": "2026-10-08T02:40:44.76257"
    },
    {
      "numeroCuenta": "00000000000000000002",
      "clienteId": 2,
      "saldo": 0,
      "estatus": "ACTIVA",
      "fechaCreacion": "2026-10-08T11:11:36.365316"
    },
    {
      "numeroCuenta": "00000000000000000003",
      "clienteId": 3,
      "saldo": 0,
      "estatus": "ACTIVA",
      "fechaCreacion": "2026-10-08T11:27:25.042862"
    },
    {
      "numeroCuenta": "00000000000000000004",
      "clienteId": 4,
      "saldo": 0,
      "estatus": "ACTIVA",
      "fechaCreacion": "2026-10-08T12:34:01.143531"
    },
    {
      "numeroCuenta": "00000000000000000005",
      "clienteId": 5,
      "saldo": 0,
      "estatus": "ACTIVA",
      "fechaCreacion": "2026-10-08T18:39:52.473116"
    },
    {
      "numeroCuenta": "00000000000000000007",
      "clienteId": 7,
      "saldo": 0,
      "estatus": "ACTIVA",
      "fechaCreacion": "2026-10-08T22:44:14.753687"
    },
    {
      "numeroCuenta": "00000000000000000008",
      "clienteId": 8,
      "saldo": 0,
      "estatus": "ACTIVA",
      "fechaCreacion": "2026-10-09T11:29:59.605595"
    },
    {
      "numeroCuenta": "00000000000000000009",
      "clienteId": 9,
      "saldo": 0,
      "estatus": "ACTIVA",
      "fechaCreacion": "2026-10-09T11:30:00.12372"
    },
    {
      "numeroCuenta": "00000000000000000010",
      "clienteId": 10,
      "saldo": 0,
      "estatus": "ACTIVA",
      "fechaCreacion": "2026-10-09T11:30:02.176671"
    }
  ],
  "page": 0,
  "size": 20,
  "totalElementos": 9,
  "totalPaginas": 1
}</t>
  </si>
  <si>
    <t>CP-017</t>
  </si>
  <si>
    <t>Tests (2), Passed: 2, Failed: 0
PASS — HTTP esperado
PASS — Sólo activas</t>
  </si>
  <si>
    <t>Registro Dulce</t>
  </si>
  <si>
    <t>AUTO-CP-063</t>
  </si>
  <si>
    <t>CP-063 — Filtros combinados</t>
  </si>
  <si>
    <t>Tests (2), Passed: 2, Failed: 0
PASS — HTTP esperado
PASS — Filtros AND</t>
  </si>
  <si>
    <t>HTTP 409; Tests: 0 aprobados, 1 fallidos. 45 ms.</t>
  </si>
  <si>
    <t>AUTO-CP-064</t>
  </si>
  <si>
    <t>CP-064 — Filtros incompatibles</t>
  </si>
  <si>
    <t>9/10/2026, 11:30:00</t>
  </si>
  <si>
    <t>HTTP 200
{
  "contenido": [],
  "page": 0,
  "size": 20,
  "totalElementos": 0,
  "totalPaginas": 0
}</t>
  </si>
  <si>
    <t>Agustín</t>
  </si>
  <si>
    <t>Tests (1), Passed: 1, Failed: 0
PASS — AND de identificadores distintos no devuelve clientes</t>
  </si>
  <si>
    <t>AUTO-CP-065</t>
  </si>
  <si>
    <t>CP-065 — Clientes activos</t>
  </si>
  <si>
    <t>tests/bruno/Registro/Altas de clientes/Registro Dulce.bru</t>
  </si>
  <si>
    <t>CP-018</t>
  </si>
  <si>
    <t>HTTP 200
{
  "contenido": [
    {
      "clienteId": 1,
      "nombre": "José",
      "segundoNombre": null,
      "apellidoPaterno": "Pérez",
      "apellidoMaterno": "García",
      "curp": "PEGJ900101HDFRRS09",
      "rfc": "PEGJ900101AB1",
      "correo": "registro.prueba@example.com",
      "estatus": "ACTIVO",
      "fechaRegistro": null
    },
    {
      "clienteId": 2,
      "nombre": "José",
      "segundoNombre": null,
      "apellidoPaterno": "Pérez",
      "apellidoMaterno": "García",
      "curp": "LOPA910202HDFPRS09",
      "rfc": "LOPA910202AB1",
      "correo": "registro.usuario@example.com",
      "estatus": "ACTIVO",
      "fechaRegistro": null
    },
    {
      "clienteId": 3,
      "nombre": "Agustín",
      "segundoNombre": null,
      "apellidoPaterno": "López",
      "apellidoMaterno": "Parra",
      "curp": "LOPA040905HGTPRGA7",
      "rfc": "LOPA040905MQ3",
      "correo": "agustinlopezparra13@gmail.com",
      "estatus": "ACTIVO",
      "fechaRegistro": null
    },
    {
      "clienteId": 4,
      "nombre": "Dulce",
      "segundoNombre": "María",
      "apellidoPaterno": "López",
      "apellidoMaterno": "Parra",
      "curp": "LOPD051108MGTPRLA8",
      "rfc": "LOPD051108AB1",
      "correo": "dulce.lopez.parra@example.com",
      "estatus": "ACTIVO",
      "fechaRegistro": null
    },
    {
      "clienteId": 5,
      "nombre": "Agustín",
      "segundoNombre": null,
      "apellidoPaterno": "López",
      "apellidoMaterno": "Parra",
      "curp": "LOPA040905HGTXXX09",
      "rfc": "LOPA040905ZZ1",
      "correo": "agustin.ejecutivo@example.com",
      "estatus": "ACTIVO",
      "fechaRegistro": "2026-10-08T18:39:52.414006"
    },
    {
      "clienteId": 7,
      "nombre": "Dulce",
      "segundoNombre": "María",
      "apellidoPaterno": "López",
      "apellidoMaterno": "Parra",
      "curp": "LOPD051108MGTXXX08",
      "rfc": "LOPD051108ZZ8",
      "correo": "dulce.maria.lopez.parra.qa@gmail.com",
      "estatus": "ACTIVO",
      "fechaRegistro": "2026-10-08T22:44:14.647275"
    },
    {
      "clienteId": 8,
      "nombre": "Sofía",
      "segundoNombre": "Jimena",
      "apellidoPaterno": "Salazar",
      "apellidoMaterno": "Godínez",
      "curp": "SAGS050618MGTLDFA4",
      "rfc": "SAGS050618ZZ4",
      "correo": "sofia.jimena.salazar.godinez.qa@gmail.com",
      "estatus": "ACTIVO",
      "fechaRegistro": "2026-10-09T11:29:59.447632"
    },
    {
      "clienteId": 9,
      "nombre": "Nancy",
      "segundoNombre": "Guadalupe",
      "apellidoPaterno": "Enríquez",
      "apellidoMaterno": "Parra",
      "curp": "EIPN980227MDFNRN03",
      "rfc": "EIPN980227ZZ3",
      "correo": "nancy.guadalupe.enriquez.parra.qa@hotmail.com",
      "estatus": "ACTIVO",
      "fechaRegistro": "2026-10-09T11:30:00.109804"
    },
    {
      "clienteId": 10,
      "nombre": "Dulce",
      "segundoNombre": "María",
      "apellidoPaterno": "López",
      "apellidoMaterno": "Parra",
      "curp": "LOPD051108MGTWTTA2",
      "rfc": "LOPD051108EN7",
      "correo": "qa.bloqueo.mv18qen6@example.com",
      "estatus": "ACTIVO",
      "fechaRegistro": "2026-10-09T11:30:02.158629"
    }
  ],
  "page": 0,
  "size": 20,
  "totalElementos": 9,
  "totalPaginas": 1
}</t>
  </si>
  <si>
    <t>Tests (1), Passed: 1, Failed: 0
PASS — Sólo clientes activos</t>
  </si>
  <si>
    <t>Nombre invalido</t>
  </si>
  <si>
    <t>AUTO-CP-066</t>
  </si>
  <si>
    <t>CP-066 — Clientes inactivos</t>
  </si>
  <si>
    <t>HTTP 200
{
  "contenido": [
    {
      "clienteId": 6,
      "nombre": "Dulce",
      "segundoNombre": "María",
      "apellidoPaterno": "López",
      "apellidoMaterno": "Parra",
      "curp": "LOPD051108MGTXXX09",
      "rfc": "LOPD051108ZZ2",
      "correo": "dulce.mantenimiento@example.com",
      "estatus": "INACTIVO",
      "fechaRegistro": "2026-10-08T21:43:23.103035"
    }
  ],
  "page": 0,
  "size": 20,
  "totalElementos": 1,
  "totalPaginas": 1
}</t>
  </si>
  <si>
    <t>400 y campo nombre rechazado.</t>
  </si>
  <si>
    <t>Tests (1), Passed: 1, Failed: 0
PASS — Sólo clientes inactivos</t>
  </si>
  <si>
    <t>HTTP 400; Tests: 2 aprobados, 0 fallidos. 102 ms.</t>
  </si>
  <si>
    <t>AUTO-CP-067</t>
  </si>
  <si>
    <t>CP-067 — Cliente inactivo por correo</t>
  </si>
  <si>
    <t>Agustin Parrra</t>
  </si>
  <si>
    <t>HTTP 200
{
  "cliente": {
    "clienteId": 6,
    "nombre": "Dulce",
    "segundoNombre": "María",
    "apellidoPaterno": "López",
    "apellidoMaterno": "Parra",
    "curp": "LOPD051108MGTXXX09",
    "rfc": "LOPD051108ZZ2",
    "correo": "dulce.mantenimiento@example.com",
    "estatus": "INACTIVO",
    "fechaRegistro": "2026-10-08T21:43:23.103035"
  },
  "fechaNacimiento": "2005-11-08",
  "sexoId": 2,
  "nacionalidadId": 1,
  "estadoCivilId": 7,
  "telefonoMovil": "4681046222",
  "telefonoAlternativo": null,
  "domicilio": {
    "calle": "Guerrero",
    "numeroExterior": "844",
    "numeroInterior": null,
    "colonia": "San Isidro",
    "municipio": "San Luis de la Paz",
    "estado": "Guanajuato",
    "codigoPostal": "37907",
    "paisId": 1,
    "asentamientoId": 110333891
  },
  "informacionLaboral": {
    "ocupacion": "Gerente de bodega",
    "empresa": "Bodega Aurrera QA",
    "ingresoMensual": 18000.5
  },
  "cuentas": [
    {
      "numeroCuenta": "00000000000000000006",
      "clienteId": 6,
      "saldo": 0,
      "estatus": "INACTIVA",
      "fechaCreacion": "2026-10-08T21:43:23.140863"
    }
  ]
}</t>
  </si>
  <si>
    <t>Tests (1), Passed: 1, Failed: 0
PASS — Ejecutivo consulta el registro dado de baja</t>
  </si>
  <si>
    <t>tests/bruno/Registro/Validaciones/Nombre invalido.bru</t>
  </si>
  <si>
    <t>AUTO-CP-068</t>
  </si>
  <si>
    <t>CP-068 — Cliente ajeno denegado</t>
  </si>
  <si>
    <t>CP-019</t>
  </si>
  <si>
    <t>HTTP 404
{
  "timestamp": "2026-10-09T11:30:06.4341614",
  "status": 404,
  "codigo": "RECURSO_NO_ENCONTRADO",
  "mensaje": "Recurso no encontrado",
  "path": "/clientes/5",
  "errores": []
}</t>
  </si>
  <si>
    <t>Tests (2), Passed: 2, Failed: 0
PASS — HTTP esperado
PASS — No revela cliente ajeno</t>
  </si>
  <si>
    <t>Menor de edad</t>
  </si>
  <si>
    <t>AUTO-CP-069</t>
  </si>
  <si>
    <t>CP-069 — Cuenta ajena denegada</t>
  </si>
  <si>
    <t>HTTP 404
{
  "timestamp": "2026-10-09T11:30:06.4868522",
  "status": 404,
  "codigo": "RECURSO_NO_ENCONTRADO",
  "mensaje": "Recurso no encontrado",
  "path": "/cuentas/00000000000000000005",
  "errores": []
}</t>
  </si>
  <si>
    <t>Tests (2), Passed: 2, Failed: 0
PASS — HTTP esperado
PASS — No revela cuenta ajena</t>
  </si>
  <si>
    <t>400 y fechaNacimiento rechazada por mayoría de edad.</t>
  </si>
  <si>
    <t>AUTO-CP-070</t>
  </si>
  <si>
    <t>CP-070 — Cliente inexistente</t>
  </si>
  <si>
    <t>HTTP 400; Tests: 2 aprobados, 0 fallidos. 19 ms.</t>
  </si>
  <si>
    <t>HTTP 404
{
  "timestamp": "2026-10-09T11:30:06.5271418",
  "status": 404,
  "codigo": "RECURSO_NO_ENCONTRADO",
  "mensaje": "Recurso no encontrado",
  "path": "/clientes/999999999999",
  "errores": []
}</t>
  </si>
  <si>
    <t>Tests (2), Passed: 2, Failed: 0
PASS — HTTP esperado
PASS — 404 controlado</t>
  </si>
  <si>
    <t>AUTO-CP-071</t>
  </si>
  <si>
    <t>CP-071 — Busqueda inexistente ejecutivo</t>
  </si>
  <si>
    <t>HTTP 404
{
  "timestamp": "2026-10-09T11:30:06.579064",
  "status": 404,
  "codigo": "RECURSO_NO_ENCONTRADO",
  "mensaje": "Recurso no encontrado",
  "path": "/clientes/buscar",
  "errores": []
}</t>
  </si>
  <si>
    <t>tests/bruno/Registro/Validaciones/Menor de edad.bru</t>
  </si>
  <si>
    <t>AUTO-CP-072</t>
  </si>
  <si>
    <t>CP-020</t>
  </si>
  <si>
    <t>CP-072 — Listado denegado a cliente</t>
  </si>
  <si>
    <t>Ingreso con tipo incorrecto</t>
  </si>
  <si>
    <t>HTTP 403
{
  "timestamp": "2026-10-09T11:30:06.6216381",
  "status": 403,
  "codigo": "ACCESO_DENEGADO",
  "mensaje": "No tienes permiso para esta operación",
  "path": "/clientes",
  "errores": []
}</t>
  </si>
  <si>
    <t>Tests (2), Passed: 2, Failed: 0
PASS — HTTP esperado
PASS — Permiso denegado</t>
  </si>
  <si>
    <t>AUTO-CP-073</t>
  </si>
  <si>
    <t>CP-073 — Consulta sin token</t>
  </si>
  <si>
    <t>400 y campo informacionLaboral.ingresoMensual rechazado.</t>
  </si>
  <si>
    <t>HTTP 401
{
  "timestamp": "2026-10-09T11:30:06.6408524",
  "status": 401,
  "codigo": "NO_AUTENTICADO",
  "mensaje": "Token ausente, inválido o acceso no disponible",
  "path": "/clientes",
  "errores": []
}</t>
  </si>
  <si>
    <t>HTTP 400; Tests: 2 aprobados, 0 fallidos. 12 ms.</t>
  </si>
  <si>
    <t>Tests (2), Passed: 2, Failed: 0
PASS — HTTP esperado
PASS — Autenticación requerida</t>
  </si>
  <si>
    <t>AUTO-CP-074</t>
  </si>
  <si>
    <t>CP-074 — Pagina invalida</t>
  </si>
  <si>
    <t>HTTP 400
{
  "timestamp": "2026-10-09T11:30:06.6776082",
  "status": 400,
  "codigo": "VALIDACION",
  "mensaje": "Revisa los campos de la petición",
  "path": "/clientes",
  "errores": [
    {
      "campo": "size",
      "mensaje": "must be less than or equal to 100"
    }
  ]
}</t>
  </si>
  <si>
    <t>tests/bruno/Registro/Validaciones/Ingreso con tipo incorrecto.bru</t>
  </si>
  <si>
    <t>Tests (2), Passed: 2, Failed: 0
PASS — HTTP esperado
PASS — Validación controlada</t>
  </si>
  <si>
    <t>AUTO-CP-075</t>
  </si>
  <si>
    <t>CP-075 — Fecha invalida</t>
  </si>
  <si>
    <t>CP-021</t>
  </si>
  <si>
    <t>HTTP 400
{
  "timestamp": "2026-10-09T11:30:06.7242861",
  "status": 400,
  "codigo": "VALIDACION",
  "mensaje": "Fecha inválida; utiliza YYYY-MM-DD",
  "path": "/clientes",
  "errores": [
    {
      "campo": "desde",
      "mensaje": "Fecha inválida; utiliza YYYY-MM-DD"
    }
  ]
}</t>
  </si>
  <si>
    <t>Tests (2), Passed: 2, Failed: 0
PASS — HTTP esperado
PASS — Fecha rechazada</t>
  </si>
  <si>
    <t>Password invalida</t>
  </si>
  <si>
    <t>AUTO-CP-076</t>
  </si>
  <si>
    <t>CP-076 — Rango de fechas invertido</t>
  </si>
  <si>
    <t>HTTP 400
{
  "timestamp": "2026-10-09T11:30:06.7686551",
  "status": 400,
  "codigo": "VALIDACION",
  "mensaje": "Desde no puede ser posterior a hasta",
  "path": "/clientes",
  "errores": [
    {
      "campo": "desde",
      "mensaje": "Desde no puede ser posterior a hasta"
    }
  ]
}</t>
  </si>
  <si>
    <t>Tests (1), Passed: 1, Failed: 0
PASS — Rango invertido rechazado</t>
  </si>
  <si>
    <t>400 y campo password rechazado por formato.</t>
  </si>
  <si>
    <t>E-020</t>
  </si>
  <si>
    <t>CP-077 — Listado cuentas denegado a cliente</t>
  </si>
  <si>
    <t>HTTP 400; Tests: 2 aprobados, 0 fallidos. 14 ms.</t>
  </si>
  <si>
    <t>HTTP 403
{
  "timestamp": "2026-10-09T11:30:06.7930601",
  "status": 403,
  "codigo": "ACCESO_DENEGADO",
  "mensaje": "No tienes permiso para esta operación",
  "path": "/cuentas",
  "errores": []
}</t>
  </si>
  <si>
    <t>Tests (1), Passed: 1, Failed: 0
PASS — Cliente no consulta cuentas generales</t>
  </si>
  <si>
    <t>CON-002</t>
  </si>
  <si>
    <t>CP-078 — Ficha Sofia</t>
  </si>
  <si>
    <t>tests/bruno/Registro/Validaciones/Password invalida.bru</t>
  </si>
  <si>
    <t>HTTP 200
{
  "cliente": {
    "clienteId": 8,
    "nombre": "Sofía",
    "segundoNombre": "Jimena",
    "apellidoPaterno": "Salazar",
    "apellidoMaterno": "Godínez",
    "curp": "SAGS050618MGTLDFA4",
    "rfc": "SAGS050618ZZ4",
    "correo": "sofia.jimena.salazar.godinez.qa@gmail.com",
    "estatus": "ACTIVO",
    "fechaRegistro": "2026-10-09T11:29:59.447632"
  },
  "fechaNacimiento": "2005-06-18",
  "sexoId": 2,
  "nacionalidadId": 1,
  "estadoCivilId": 7,
  "telefonoMovil": "4181788464",
  "telefonoAlternativo": null,
  "domicilio": {
    "calle": "Av. de los Héroes",
    "numeroExterior": "S/N",
    "numeroInterior": null,
    "colonia": "Héroes de San Cristóbal",
    "municipio": "Dolores Hidalgo Cuna de la Independencia Nacional",
    "estado": "Guanajuato",
    "codigoPostal": "37803",
    "paisId": 1,
    "asentamientoId": 110140023
  },
  "informacionLaboral": {
    "ocupacion": "Licenciatura en Turismo",
    "empresa": "Empresa de prueba de turismo",
    "ingresoMensual": 12000
  },
  "cuentas": [
    {
      "numeroCuenta": "00000000000000000008",
      "clienteId": 8,
      "saldo": 0,
      "estatus": "ACTIVA",
      "fechaCreacion": "2026-10-09T11:29:59.605595"
    }
  ]
}</t>
  </si>
  <si>
    <t>Tests (1), Passed: 1, Failed: 0
PASS — Ficha propia con datos confirmados</t>
  </si>
  <si>
    <t>CP-022</t>
  </si>
  <si>
    <t>CON-003</t>
  </si>
  <si>
    <t>Password ausente</t>
  </si>
  <si>
    <t>CP-079 — Ficha Nancy</t>
  </si>
  <si>
    <t>HTTP 200
{
  "cliente": {
    "clienteId": 9,
    "nombre": "Nancy",
    "segundoNombre": "Guadalupe",
    "apellidoPaterno": "Enríquez",
    "apellidoMaterno": "Parra",
    "curp": "EIPN980227MDFNRN03",
    "rfc": "EIPN980227ZZ3",
    "correo": "nancy.guadalupe.enriquez.parra.qa@hotmail.com",
    "estatus": "ACTIVO",
    "fechaRegistro": "2026-10-09T11:30:00.109804"
  },
  "fechaNacimiento": "1998-02-27",
  "sexoId": 2,
  "nacionalidadId": 1,
  "estadoCivilId": 7,
  "telefonoMovil": "4681205803",
  "telefonoAlternativo": null,
  "domicilio": {
    "calle": "Nopaltzin",
    "numeroExterior": "106",
    "numeroInterior": null,
    "colonia": "Banda de Arriba",
    "municipio": "San Luis de la Paz",
    "estado": "Guanajuato",
    "codigoPostal": "37903",
    "paisId": 1,
    "asentamientoId": 110333883
  },
  "informacionLaboral": {
    "ocupacion": "Ingeniería Industrial",
    "empresa": "Empresa de prueba industrial",
    "ingresoMensual": 14000
  },
  "cuentas": [
    {
      "numeroCuenta": "00000000000000000009",
      "clienteId": 9,
      "saldo": 0,
      "estatus": "ACTIVA",
      "fechaCreacion": "2026-10-09T11:30:00.12372"
    }
  ]
}</t>
  </si>
  <si>
    <t>400 y campo password requerido.</t>
  </si>
  <si>
    <t>HTTP 400; Tests: 2 aprobados, 0 fallidos. 16 ms.</t>
  </si>
  <si>
    <t>CON-004</t>
  </si>
  <si>
    <t>CP-080 — Ficha Dulce</t>
  </si>
  <si>
    <t>HTTP 200
{
  "cliente": {
    "clienteId": 7,
    "nombre": "Dulce",
    "segundoNombre": "María",
    "apellidoPaterno": "López",
    "apellidoMaterno": "Parra",
    "curp": "LOPD051108MGTXXX08",
    "rfc": "LOPD051108ZZ8",
    "correo": "dulce.maria.lopez.parra.qa@gmail.com",
    "estatus": "ACTIVO",
    "fechaRegistro": "2026-10-08T22:44:14.647275"
  },
  "fechaNacimiento": "2005-11-08",
  "sexoId": 2,
  "nacionalidadId": 1,
  "estadoCivilId": 7,
  "telefonoMovil": "4681046222",
  "telefonoAlternativo": null,
  "domicilio": {
    "calle": "Guerrero",
    "numeroExterior": "843",
    "numeroInterior": null,
    "colonia": "San Isidro",
    "municipio": "San Luis de la Paz",
    "estado": "Guanajuato",
    "codigoPostal": "37907",
    "paisId": 1,
    "asentamientoId": 110333891
  },
  "informacionLaboral": {
    "ocupacion": "Gerente de bodega",
    "empresa": "Bodega Aurrera",
    "ingresoMensual": 18000.5
  },
  "cuentas": [
    {
      "numeroCuenta": "00000000000000000007",
      "clienteId": 7,
      "saldo": 0,
      "estatus": "ACTIVA",
      "fechaCreacion": "2026-10-08T22:44:14.753687"
    }
  ]
}</t>
  </si>
  <si>
    <t>MAN-001</t>
  </si>
  <si>
    <t>tests/bruno/Registro/Validaciones/Password ausente.bru</t>
  </si>
  <si>
    <t>CP-081 — Registro QA mantenimiento</t>
  </si>
  <si>
    <t>CP-023</t>
  </si>
  <si>
    <t>HTTP 201
{
  "clienteId": 11,
  "estatus": "ACTIVO",
  "cuenta": {
    "numeroCuenta": "00000000000000000011",
    "saldo": 0,
    "estatus": "ACTIVA"
  },
  "usuario": {
    "usuarioId": 10,
    "correo": "qa.mantenimiento.mv18qen6@example.com",
    "activo": true
  }
}</t>
  </si>
  <si>
    <t>Perfil QA nuevo de mantenimiento. QA: cliente 11, usuario 10.</t>
  </si>
  <si>
    <t>Password tipo incorrecto</t>
  </si>
  <si>
    <t>MAN-002</t>
  </si>
  <si>
    <t>CP-082 — Login mantenimiento</t>
  </si>
  <si>
    <t>HTTP 200
{
  "accessToken": "[omitido por seguridad]",
  "tokenType": "Bearer",
  "expiresIn": 300,
  "expiresAt": "2026-10-09T17:35:07.817031600Z"
}</t>
  </si>
  <si>
    <t>400 y campo password rechazado por tipo JSON.</t>
  </si>
  <si>
    <t>MAN-003</t>
  </si>
  <si>
    <t>CP-083 — Usuario propio</t>
  </si>
  <si>
    <t>HTTP 200
{
  "usuarioId": 10,
  "clienteId": 11,
  "correo": "qa.mantenimiento.mv18qen6@example.com",
  "activo": true,
  "rol": "CLIENTE",
  "fechaCreacion": "2026-10-09T11:30:07.536818",
  "fechaActualizacion": "2026-10-09T11:30:07.536818"
}</t>
  </si>
  <si>
    <t>Tests (2), Passed: 2, Failed: 0
PASS — HTTP esperado
PASS — Sin credenciales</t>
  </si>
  <si>
    <t>tests/bruno/Registro/Validaciones/Password tipo incorrecto.bru</t>
  </si>
  <si>
    <t>E-003</t>
  </si>
  <si>
    <t>CP-084 — Recuperar perfil mantenimiento</t>
  </si>
  <si>
    <t>CP-024</t>
  </si>
  <si>
    <t>HTTP 200
{
  "usuarioId": 10,
  "clienteId": 11,
  "correo": "qa.mantenimiento.mv18qen6@example.com",
  "activo": true,
  "rol": "CLIENTE"
}</t>
  </si>
  <si>
    <t>Duplicados</t>
  </si>
  <si>
    <t>Tests (1), Passed: 1, Failed: 0
PASS — Perfil QA correcto</t>
  </si>
  <si>
    <t>CURP duplicada</t>
  </si>
  <si>
    <t>E-004</t>
  </si>
  <si>
    <t>CP-085 — Recuperar ficha mantenimiento</t>
  </si>
  <si>
    <t>Preparar un cliente existente con el identificador duplicado. Ejecutar el alta negativa y verificar 409.</t>
  </si>
  <si>
    <t>HTTP 200
{
  "cliente": {
    "clienteId": 11,
    "nombre": "Dulce",
    "segundoNombre": "María",
    "apellidoPaterno": "López",
    "apellidoMaterno": "Parra",
    "curp": "LOPD051108MGTWTTA1",
    "rfc": "LOPD051108EN6",
    "correo": "qa.mantenimiento.mv18qen6@example.com",
    "estatus": "ACTIVO",
    "fechaRegistro": "2026-10-09T11:30:07.51156"
  },
  "fechaNacimiento": "2005-11-08",
  "sexoId": 2,
  "nacionalidadId": 1,
  "estadoCivilId": 7,
  "telefonoMovil": "4681046222",
  "telefonoAlternativo": null,
  "domicilio": {
    "calle": "Guerrero",
    "numeroExterior": "843",
    "numeroInterior": null,
    "colonia": "San Isidro",
    "municipio": "San Luis de la Paz",
    "estado": "Guanajuato",
    "codigoPostal": "37907",
    "paisId": 1,
    "asentamientoId": 110333891
  },
  "informacionLaboral": {
    "ocupacion": "Gerente de bodega",
    "empresa": "Bodega Aurrera",
    "ingresoMensual": 18000.5
  },
  "cuentas": [
    {
      "numeroCuenta": "00000000000000000011",
      "clienteId": 11,
      "saldo": 0,
      "estatus": "ACTIVA",
      "fechaCreacion": "2026-10-09T11:30:07.52683"
    }
  ]
}</t>
  </si>
  <si>
    <t>409 y campo curp rechazado por unicidad.</t>
  </si>
  <si>
    <t>Tests (1), Passed: 1, Failed: 0
PASS — Ficha QA correcta</t>
  </si>
  <si>
    <t>HTTP 409; Tests: 2 aprobados, 0 fallidos. 38 ms.</t>
  </si>
  <si>
    <t>E-005</t>
  </si>
  <si>
    <t>CP-086 — Actualizar datos QA</t>
  </si>
  <si>
    <t>HTTP 200
{
  "cliente": {
    "clienteId": 11,
    "nombre": "Dulce",
    "segundoNombre": "María",
    "apellidoPaterno": "López",
    "apellidoMaterno": "Parra",
    "curp": "LOPD051108MGTWTTA1",
    "rfc": "LOPD051108EN6",
    "correo": "qa.mantenimiento.mv18qen6@example.com",
    "estatus": "ACTIVO",
    "fechaRegistro": "2026-10-09T11:30:07.51156"
  },
  "fechaNacimiento": "2005-11-08",
  "sexoId": 2,
  "nacionalidadId": 1,
  "estadoCivilId": 7,
  "telefonoMovil": "4681046222",
  "telefonoAlternativo": null,
  "domicilio": {
    "calle": "Guerrero",
    "numeroExterior": "844",
    "numeroInterior": null,
    "colonia": "San Isidro",
    "municipio": "San Luis de la Paz",
    "estado": "Guanajuato",
    "codigoPostal": "37907",
    "paisId": 1,
    "asentamientoId": 110333891
  },
  "informacionLaboral": {
    "ocupacion": "Gerente de bodega",
    "empresa": "Bodega Aurrera QA",
    "ingresoMensual": 18000.5
  },
  "cuentas": [
    {
      "numeroCuenta": "00000000000000000011",
      "clienteId": 11,
      "saldo": 0,
      "estatus": "ACTIVA",
      "fechaCreacion": "2026-10-09T11:30:07.52683"
    }
  ]
}</t>
  </si>
  <si>
    <t>Tests (2), Passed: 2, Failed: 0
PASS — HTTP esperado
PASS — Datos actualizados</t>
  </si>
  <si>
    <t>tests/bruno/Registro/Duplicados/CURP duplicada.bru</t>
  </si>
  <si>
    <t>E-006</t>
  </si>
  <si>
    <t>CP-025</t>
  </si>
  <si>
    <t>CP-087 — CURP no editable</t>
  </si>
  <si>
    <t>RFC duplicado</t>
  </si>
  <si>
    <t>HTTP 400
{
  "timestamp": "2026-10-09T11:30:08.3271165",
  "status": 400,
  "codigo": "VALIDACION",
  "mensaje": "Revisa los parámetros de la petición",
  "path": "/clientes/11",
  "errores": [
    {
      "campo": "curp",
      "mensaje": "CURP no se puede modificar"
    }
  ]
}</t>
  </si>
  <si>
    <t>Tests (2), Passed: 2, Failed: 0
PASS — HTTP esperado
PASS — Campo protegido</t>
  </si>
  <si>
    <t>E-014</t>
  </si>
  <si>
    <t>CP-088 — Correo duplicado al actualizar</t>
  </si>
  <si>
    <t>409 y campo rfc rechazado por unicidad.</t>
  </si>
  <si>
    <t>HTTP 409; Tests: 1 aprobados, 1 fallidos. 41 ms.</t>
  </si>
  <si>
    <t>HTTP 409
{
  "timestamp": "2026-10-09T11:30:08.4197379",
  "status": 409,
  "codigo": "DATO_DUPLICADO",
  "mensaje": "Ya existe un cliente con este dato",
  "path": "/clientes/11",
  "errores": [
    {
      "campo": "correoElectronico",
      "mensaje": "Ya existe un cliente con este dato"
    }
  ]
}</t>
  </si>
  <si>
    <t>Tests (2), Passed: 2, Failed: 0
PASS — HTTP esperado
PASS — Unicidad</t>
  </si>
  <si>
    <t>E-015</t>
  </si>
  <si>
    <t>CP-089 — Actualizar cliente ajeno</t>
  </si>
  <si>
    <t>HTTP 404
{
  "timestamp": "2026-10-09T11:30:08.4628276",
  "status": 404,
  "codigo": "RECURSO_NO_ENCONTRADO",
  "mensaje": "Recurso no encontrado",
  "path": "/clientes/3",
  "errores": []
}</t>
  </si>
  <si>
    <t>tests/bruno/Registro/Duplicados/RFC duplicado.bru</t>
  </si>
  <si>
    <t>Tests (2), Passed: 2, Failed: 0
PASS — HTTP esperado
PASS — Sin acceso ajeno</t>
  </si>
  <si>
    <t>E-016</t>
  </si>
  <si>
    <t>CP-026</t>
  </si>
  <si>
    <t>CP-090 — Password actual incorrecta</t>
  </si>
  <si>
    <t>Correo duplicado</t>
  </si>
  <si>
    <t>HTTP 401
{
  "timestamp": "2026-10-09T11:30:08.7561213",
  "status": 401,
  "codigo": "CREDENCIALES_INVALIDAS",
  "mensaje": "Credenciales inválidas o acceso no disponible",
  "path": "/usuarios/10/password",
  "errores": []
}</t>
  </si>
  <si>
    <t>Tests (2), Passed: 2, Failed: 0
PASS — HTTP esperado
PASS — Rechazo controlado</t>
  </si>
  <si>
    <t>E-017</t>
  </si>
  <si>
    <t>CP-091 — Password nueva invalida</t>
  </si>
  <si>
    <t>409 y campo correoElectronico rechazado por unicidad.</t>
  </si>
  <si>
    <t>HTTP 400
{
  "timestamp": "2026-10-09T11:30:08.7858691",
  "status": 400,
  "codigo": "VALIDACION",
  "mensaje": "Revisa los parámetros de la petición",
  "path": "/usuarios/10/password",
  "errores": [
    {
      "campo": "passwordNueva",
      "mensaje": "La contraseña requiere al menos 8 caracteres, mayúscula, minúscula, número y carácter especial; sin espacios y máximo 72 bytes UTF-8"
    }
  ]
}</t>
  </si>
  <si>
    <t>Tests (2), Passed: 2, Failed: 0
PASS — HTTP esperado
PASS — Validación</t>
  </si>
  <si>
    <t>E-018</t>
  </si>
  <si>
    <t>CP-092 — Cambiar password QA</t>
  </si>
  <si>
    <t>HTTP 204
Sin cuerpo (respuesta vacía).</t>
  </si>
  <si>
    <t>MAN-004</t>
  </si>
  <si>
    <t>CP-093 — Token anterior revocado</t>
  </si>
  <si>
    <t>HTTP 401
{
  "timestamp": "2026-10-09T11:30:09.3286921",
  "status": 401,
  "codigo": "NO_AUTENTICADO",
  "mensaje": "Token ausente, inválido o acceso no disponible",
  "path": "/auth/me",
  "errores": []
}</t>
  </si>
  <si>
    <t>Tests (2), Passed: 2, Failed: 0
PASS — HTTP esperado
PASS — JWT revocado</t>
  </si>
  <si>
    <t>tests/bruno/Registro/Duplicados/Correo duplicado.bru</t>
  </si>
  <si>
    <t>E-002</t>
  </si>
  <si>
    <t>CP-094 — Login con nueva password</t>
  </si>
  <si>
    <t>CP-027</t>
  </si>
  <si>
    <t>HTTP 200
{
  "accessToken": "[omitido por seguridad]",
  "tokenType": "Bearer",
  "expiresIn": 300,
  "expiresAt": "2026-10-09T17:35:09.627235700Z"
}</t>
  </si>
  <si>
    <t>Acceso</t>
  </si>
  <si>
    <t>Login valido</t>
  </si>
  <si>
    <t>E-009</t>
  </si>
  <si>
    <t>/auth/login</t>
  </si>
  <si>
    <t>CP-095 — Baja QA por ejecutivo</t>
  </si>
  <si>
    <t>Perfil correspondiente registrado y activo; usar credenciales QA de la petición. Ejecutar login y capturar JWT.</t>
  </si>
  <si>
    <t>200; accessToken no vacío, tokenType Bearer, expiresIn 300 y expiresAt.</t>
  </si>
  <si>
    <t>E-010</t>
  </si>
  <si>
    <t>CP-096 — Cliente conserva datos tras baja</t>
  </si>
  <si>
    <t>HTTP 200; Tests: 2 aprobados, 0 fallidos. 267 ms.</t>
  </si>
  <si>
    <t>HTTP 200
{
  "cliente": {
    "clienteId": 11,
    "nombre": "Dulce",
    "segundoNombre": "María",
    "apellidoPaterno": "López",
    "apellidoMaterno": "Parra",
    "curp": "LOPD051108MGTWTTA1",
    "rfc": "LOPD051108EN6",
    "correo": "qa.mantenimiento.mv18qen6@example.com",
    "estatus": "INACTIVO",
    "fechaRegistro": "2026-10-09T11:30:07.51156"
  },
  "fechaNacimiento": "2005-11-08",
  "sexoId": 2,
  "nacionalidadId": 1,
  "estadoCivilId": 7,
  "telefonoMovil": "4681046222",
  "telefonoAlternativo": null,
  "domicilio": {
    "calle": "Guerrero",
    "numeroExterior": "844",
    "numeroInterior": null,
    "colonia": "San Isidro",
    "municipio": "San Luis de la Paz",
    "estado": "Guanajuato",
    "codigoPostal": "37907",
    "paisId": 1,
    "asentamientoId": 110333891
  },
  "informacionLaboral": {
    "ocupacion": "Gerente de bodega",
    "empresa": "Bodega Aurrera QA",
    "ingresoMensual": 18000.5
  },
  "cuentas": [
    {
      "numeroCuenta": "00000000000000000011",
      "clienteId": 11,
      "saldo": 0,
      "estatus": "INACTIVA",
      "fechaCreacion": "2026-10-09T11:30:07.52683"
    }
  ]
}</t>
  </si>
  <si>
    <t>Tests (2), Passed: 2, Failed: 0
PASS — HTTP esperado
PASS — Baja lógica</t>
  </si>
  <si>
    <t>E-011</t>
  </si>
  <si>
    <t>CP-097 — Usuario desactivado</t>
  </si>
  <si>
    <t>HTTP 200
{
  "usuarioId": 10,
  "clienteId": 11,
  "correo": "qa.mantenimiento.mv18qen6@example.com",
  "activo": false,
  "rol": "CLIENTE",
  "fechaCreacion": "2026-10-09T11:30:07.536818",
  "fechaActualizacion": "2026-10-09T11:30:10.185116"
}</t>
  </si>
  <si>
    <t>Tests (2), Passed: 2, Failed: 0
PASS — HTTP esperado
PASS — Sin acceso de usuario</t>
  </si>
  <si>
    <t>tests/bruno/Auth/Acceso/Login valido.bru</t>
  </si>
  <si>
    <t>E-012</t>
  </si>
  <si>
    <t>CP-098 — JWT del cliente dado de baja</t>
  </si>
  <si>
    <t>HTTP 401
{
  "timestamp": "2026-10-09T11:30:10.3172705",
  "status": 401,
  "codigo": "NO_AUTENTICADO",
  "mensaje": "Token ausente, inválido o acceso no disponible",
  "path": "/clientes/me",
  "errores": []
}</t>
  </si>
  <si>
    <t>Tests (2), Passed: 2, Failed: 0
PASS — HTTP esperado
PASS — Sin sesión activa</t>
  </si>
  <si>
    <t>CP-028</t>
  </si>
  <si>
    <t>E-013</t>
  </si>
  <si>
    <t>CP-099 — Login tras baja</t>
  </si>
  <si>
    <t>Perfil autenticado</t>
  </si>
  <si>
    <t>HTTP 401
{
  "timestamp": "2026-10-09T11:30:10.5593325",
  "status": 401,
  "codigo": "CREDENCIALES_INVALIDAS",
  "mensaje": "Credenciales inválidas o acceso no disponible",
  "path": "/auth/login",
  "errores": []
}</t>
  </si>
  <si>
    <t>/auth/me</t>
  </si>
  <si>
    <t>Tests (2), Passed: 2, Failed: 0
PASS — HTTP esperado
PASS — Login rechazado</t>
  </si>
  <si>
    <t>CLIENTE · token</t>
  </si>
  <si>
    <t>Login valido → Mi cliente para capturar clienteId/numeroCuenta; mantener JWT vigente; ejecutar la petición.</t>
  </si>
  <si>
    <t>GES-001</t>
  </si>
  <si>
    <t>200; identidad del usuario autenticado; no exponer hash.</t>
  </si>
  <si>
    <t>CP-100 — Consultar productos guardados</t>
  </si>
  <si>
    <t>HTTP 200; Tests: 2 aprobados, 0 fallidos. 92 ms.</t>
  </si>
  <si>
    <t>HTTP 500
{
  "timestamp": "2026-10-09T11:30:11.8472552",
  "status": 500,
  "error": "Internal Server Error",
  "message": "Ha ocurrido un error inesperado en el servidor.",
  "path": "/api/gestopago/productos"
}</t>
  </si>
  <si>
    <t>Tests (2), Passed: 0, Failed: 2
FAIL — Responde 200 — expected 500 to equal 200
FAIL — Devuelve una lista de productos — expected { …(5) } to be an array</t>
  </si>
  <si>
    <t>La API respondió 500. Revisar el error del servidor.</t>
  </si>
  <si>
    <t>GES-002</t>
  </si>
  <si>
    <t>CP-101 — Obtener o sincronizar productos</t>
  </si>
  <si>
    <t>HTTP 500
{
  "timestamp": "2026-10-09T11:30:11.8969354",
  "status": 500,
  "error": "Internal Server Error",
  "message": "Ha ocurrido un error inesperado en el servidor.",
  "path": "/api/gestopago/productos/sincronizar"
}</t>
  </si>
  <si>
    <t>tests/bruno/Auth/Acceso/Perfil autenticado.bru</t>
  </si>
  <si>
    <t>CP-029</t>
  </si>
  <si>
    <t>AUTO-CP-102</t>
  </si>
  <si>
    <t>CP-102 — Productos antes de sincronizar</t>
  </si>
  <si>
    <t>Login formato invalido</t>
  </si>
  <si>
    <t>HTTP 500
{
  "timestamp": "2026-10-09T11:30:11.9470153",
  "status": 500,
  "error": "Internal Server Error",
  "message": "Ha ocurrido un error inesperado en el servidor.",
  "path": "/api/gestopago/productos"
}</t>
  </si>
  <si>
    <t>Tests (2), Passed: 0, Failed: 2
FAIL — Responde 200 con productos guardados — expected 500 to equal 200
FAIL — Identificadores sin duplicados — productos.map is not a function</t>
  </si>
  <si>
    <t>AUTO-CP-103</t>
  </si>
  <si>
    <t>CP-103 — Forzar sincronizacion</t>
  </si>
  <si>
    <t>400 por formato inválido en credenciales.</t>
  </si>
  <si>
    <t>No hay respuesta HTTP. Precondición: Ejecuta Productos antes de sincronizar antes de forzar la descarga.</t>
  </si>
  <si>
    <t>HTTP 400; Tests: 1 aprobados, 0 fallidos. 14 ms.</t>
  </si>
  <si>
    <t>No ejecutados: Ejecuta Productos antes de sincronizar antes de forzar la descarga.</t>
  </si>
  <si>
    <t>No enviado: falló la precondición del catálogo.</t>
  </si>
  <si>
    <t>AUTO-CP-104</t>
  </si>
  <si>
    <t>CP-104 — Productos despues de sincronizar</t>
  </si>
  <si>
    <t>No hay respuesta HTTP. Precondición: Ejecuta Productos antes de sincronizar y Forzar sincronizacion en ese orden.</t>
  </si>
  <si>
    <t>tests/bruno/Auth/Acceso/Login formato invalido.bru</t>
  </si>
  <si>
    <t>No ejecutados: Ejecuta Productos antes de sincronizar y Forzar sincronizacion en ese orden.</t>
  </si>
  <si>
    <t>CP-030</t>
  </si>
  <si>
    <t>AUTO-CP-105</t>
  </si>
  <si>
    <t>CP-105 — Sincronizacion sin token</t>
  </si>
  <si>
    <t>Login inexistente</t>
  </si>
  <si>
    <t>HTTP 401
{
  "timestamp": "2026-10-09T11:30:11.9770893",
  "status": 401,
  "codigo": "NO_AUTENTICADO",
  "mensaje": "Token ausente, inválido o acceso no disponible",
  "path": "/api/gestopago/productos/forzar-sincronizacion",
  "errores": []
}</t>
  </si>
  <si>
    <t>Tests (1), Passed: 1, Failed: 0
PASS — Rechaza la sincronización sin JWT</t>
  </si>
  <si>
    <t>401 CREDENCIALES_INVALIDAS; no revelar existencia del usuario.</t>
  </si>
  <si>
    <t>HTTP 401; Tests: 2 aprobados, 0 fallidos. 279 ms.</t>
  </si>
  <si>
    <t>9/10/2026, 11:30:01</t>
  </si>
  <si>
    <t>tests/bruno/Auth/Acceso/Login inexistente.bru</t>
  </si>
  <si>
    <t>CP-031</t>
  </si>
  <si>
    <t>Tokens y permisos</t>
  </si>
  <si>
    <t>Perfil sin token</t>
  </si>
  <si>
    <t>Sin token</t>
  </si>
  <si>
    <t>401 NO_AUTENTICADO.</t>
  </si>
  <si>
    <t>HTTP 401; Tests: 2 aprobados, 0 fallidos. 18 ms.</t>
  </si>
  <si>
    <t>tests/bruno/Auth/Tokens y permisos/Perfil sin token.bru</t>
  </si>
  <si>
    <t>CP-032</t>
  </si>
  <si>
    <t>Token alterado</t>
  </si>
  <si>
    <t>CLIENTE QA · tokenAlterado</t>
  </si>
  <si>
    <t>Obtener token válido; el pre-request de la petición altera la firma. No sustituirlo por un token vencido.</t>
  </si>
  <si>
    <t>401 NO_AUTENTICADO al alterar la firma del JWT.</t>
  </si>
  <si>
    <t>HTTP 401; Tests: 2 aprobados, 0 fallidos. 9 ms.</t>
  </si>
  <si>
    <t>tests/bruno/Auth/Tokens y permisos/Token alterado.bru</t>
  </si>
  <si>
    <t>CP-033</t>
  </si>
  <si>
    <t>Token vencido</t>
  </si>
  <si>
    <t>CLIENTE QA · tokenVencido</t>
  </si>
  <si>
    <t>Obtener JWT válido, conservarlo como tokenVencido y esperar a expiresAt. No alterar el payload ni renovar el token de esta petición.</t>
  </si>
  <si>
    <t>401 NO_AUTENTICADO con JWT original cuyo expiresAt ya pasó.</t>
  </si>
  <si>
    <t>HTTP 401; Tests: 2 aprobados, 0 fallidos. 67 ms.</t>
  </si>
  <si>
    <t>9/10/2026, 11:34:59</t>
  </si>
  <si>
    <t>tests/bruno/Auth/Tokens y permisos/Token vencido.bru</t>
  </si>
  <si>
    <t>CP-034</t>
  </si>
  <si>
    <t>Operacion sin permiso</t>
  </si>
  <si>
    <t>/personas</t>
  </si>
  <si>
    <t>403 con JWT válido, sin el permiso necesario.</t>
  </si>
  <si>
    <t>HTTP 403; Tests: 1 aprobados, 0 fallidos. 40 ms.</t>
  </si>
  <si>
    <t>tests/bruno/Auth/Tokens y permisos/Operacion sin permiso.bru</t>
  </si>
  <si>
    <t>CP-035</t>
  </si>
  <si>
    <t>Bloqueo por intentos</t>
  </si>
  <si>
    <t>Registro usuario para bloqueo</t>
  </si>
  <si>
    <t>201; crear un perfil QA exclusivo para bloqueo.</t>
  </si>
  <si>
    <t>HTTP 201; Tests: 1 aprobados, 0 fallidos. 803 ms.</t>
  </si>
  <si>
    <t>tests/bruno/Auth/Bloqueo por intentos/Registro usuario para bloqueo.bru</t>
  </si>
  <si>
    <t>CP-036</t>
  </si>
  <si>
    <t>Login usuario de bloqueo</t>
  </si>
  <si>
    <t>200; capturar tokenBloqueo antes de los fallos.</t>
  </si>
  <si>
    <t>HTTP 200; Tests: 2 aprobados, 0 fallidos. 279 ms.</t>
  </si>
  <si>
    <t>9/10/2026, 11:30:02</t>
  </si>
  <si>
    <t>tests/bruno/Auth/Bloqueo por intentos/Login usuario de bloqueo.bru</t>
  </si>
  <si>
    <t>CP-037</t>
  </si>
  <si>
    <t>Intento incorrecto usuario de bloqueo</t>
  </si>
  <si>
    <t>Registrar perfil QA exclusivo → Login usuario de bloqueo → esta petición 3 veces. No usar el cliente principal.</t>
  </si>
  <si>
    <t>401 CREDENCIALES_INVALIDAS en cada intento; repetir tres veces.</t>
  </si>
  <si>
    <t>HTTP 401; Tests: 2 aprobados, 0 fallidos. 270 ms.</t>
  </si>
  <si>
    <t>tests/bruno/Auth/Bloqueo por intentos/Intento incorrecto usuario de bloqueo.bru</t>
  </si>
  <si>
    <t>CP-038</t>
  </si>
  <si>
    <t>Login usuario bloqueado</t>
  </si>
  <si>
    <t>Completar tres intentos incorrectos del perfil QA exclusivo; conservar el JWT anterior todavía vigente.</t>
  </si>
  <si>
    <t>401 CREDENCIALES_INVALIDAS incluso con contraseña correcta tras tres fallos.</t>
  </si>
  <si>
    <t>HTTP 401; Tests: 2 aprobados, 0 fallidos. 234 ms.</t>
  </si>
  <si>
    <t>9/10/2026, 11:30:03</t>
  </si>
  <si>
    <t>tests/bruno/Auth/Bloqueo por intentos/Login usuario bloqueado.bru</t>
  </si>
  <si>
    <t>CP-039</t>
  </si>
  <si>
    <t>Token usuario bloqueado</t>
  </si>
  <si>
    <t>CLIENTE QA · tokenBloqueo</t>
  </si>
  <si>
    <t>401 NO_AUTENTICADO con JWT emitido antes del bloqueo.</t>
  </si>
  <si>
    <t>HTTP 401; Tests: 2 aprobados, 0 fallidos. 21 ms.</t>
  </si>
  <si>
    <t>tests/bruno/Auth/Bloqueo por intentos/Token usuario bloqueado.bru</t>
  </si>
  <si>
    <t>CP-040</t>
  </si>
  <si>
    <t>Acceso de perfiles QA</t>
  </si>
  <si>
    <t>Login Sofia</t>
  </si>
  <si>
    <t>200; capturar JWT exclusivo del perfil QA.</t>
  </si>
  <si>
    <t>HTTP 200; Tests: 1 aprobados, 0 fallidos. 259 ms.</t>
  </si>
  <si>
    <t>tests/bruno/Auth/Acceso de perfiles QA/Login Sofia.bru</t>
  </si>
  <si>
    <t>CP-041</t>
  </si>
  <si>
    <t>Perfil Sofia</t>
  </si>
  <si>
    <t>CLIENTE QA · tokenSofia</t>
  </si>
  <si>
    <t>Preparar tokenSofia; ejecutar la petición y revisar respuesta y Tests.</t>
  </si>
  <si>
    <t>200; identidad propia, activo true, rol CLIENTE.</t>
  </si>
  <si>
    <t>HTTP 200; Tests: 1 aprobados, 0 fallidos. 34 ms.</t>
  </si>
  <si>
    <t>tests/bruno/Auth/Acceso de perfiles QA/Perfil Sofia.bru</t>
  </si>
  <si>
    <t>CP-042</t>
  </si>
  <si>
    <t>Login Nancy</t>
  </si>
  <si>
    <t>HTTP 200; Tests: 1 aprobados, 0 fallidos. 276 ms.</t>
  </si>
  <si>
    <t>tests/bruno/Auth/Acceso de perfiles QA/Login Nancy.bru</t>
  </si>
  <si>
    <t>CP-043</t>
  </si>
  <si>
    <t>Perfil Nancy</t>
  </si>
  <si>
    <t>CLIENTE QA · tokenNancy</t>
  </si>
  <si>
    <t>Preparar tokenNancy; ejecutar la petición y revisar respuesta y Tests.</t>
  </si>
  <si>
    <t>9/10/2026, 11:30:04</t>
  </si>
  <si>
    <t>tests/bruno/Auth/Acceso de perfiles QA/Perfil Nancy.bru</t>
  </si>
  <si>
    <t>CP-044</t>
  </si>
  <si>
    <t>Login Dulce</t>
  </si>
  <si>
    <t>HTTP 200; Tests: 1 aprobados, 0 fallidos. 237 ms.</t>
  </si>
  <si>
    <t>tests/bruno/Auth/Acceso de perfiles QA/Login Dulce.bru</t>
  </si>
  <si>
    <t>CP-045</t>
  </si>
  <si>
    <t>Perfil Dulce</t>
  </si>
  <si>
    <t>CLIENTE QA · tokenDulce</t>
  </si>
  <si>
    <t>Preparar tokenDulce; ejecutar la petición y revisar respuesta y Tests.</t>
  </si>
  <si>
    <t>HTTP 200; Tests: 1 aprobados, 0 fallidos. 33 ms.</t>
  </si>
  <si>
    <t>tests/bruno/Auth/Acceso de perfiles QA/Perfil Dulce.bru</t>
  </si>
  <si>
    <t>CP-046</t>
  </si>
  <si>
    <t>Preparacion del ejecutivo</t>
  </si>
  <si>
    <t>Registro ejecutivo de prueba</t>
  </si>
  <si>
    <t>El ejecutivo existente es cliente 5 / usuario 4: no repetir alta. En una instalación nueva, alta y scripts/asignar-ejecutivo.sql antes de usar su sesión.</t>
  </si>
  <si>
    <t>201 inicial / 409 repetido</t>
  </si>
  <si>
    <t>201 en primera alta o 409 si ya existe. El alta crea CLIENTE; asignar EJECUTIVO por el procedimiento administrativo.</t>
  </si>
  <si>
    <t>HTTP 409; Tests: 1 aprobados, 0 fallidos. 37 ms.</t>
  </si>
  <si>
    <t>tests/bruno/Consultas/Preparacion del ejecutivo/Registro ejecutivo de prueba.bru</t>
  </si>
  <si>
    <t>CP-047</t>
  </si>
  <si>
    <t>Login ejecutivo</t>
  </si>
  <si>
    <t>200; capturar tokenEjecutivo.</t>
  </si>
  <si>
    <t>HTTP 200; Tests: 1 aprobados, 0 fallidos. 238 ms.</t>
  </si>
  <si>
    <t>tests/bruno/Consultas/Preparacion del ejecutivo/Login ejecutivo.bru</t>
  </si>
  <si>
    <t>CP-048</t>
  </si>
  <si>
    <t>Perfil ejecutivo</t>
  </si>
  <si>
    <t>EJECUTIVO · tokenEjecutivo</t>
  </si>
  <si>
    <t>Login ejecutivo → Perfil ejecutivo → Ficha del ejecutivo; JWT vigente y rol EJECUTIVO; ejecutar la petición.</t>
  </si>
  <si>
    <t>200; rol EJECUTIVO, identidad ejecutiva activa.</t>
  </si>
  <si>
    <t>HTTP 200; Tests: 2 aprobados, 0 fallidos. 34 ms.</t>
  </si>
  <si>
    <t>tests/bruno/Consultas/Preparacion del ejecutivo/Perfil ejecutivo.bru</t>
  </si>
  <si>
    <t>CP-049</t>
  </si>
  <si>
    <t>Ficha del ejecutivo</t>
  </si>
  <si>
    <t>/clientes/me</t>
  </si>
  <si>
    <t>200; cliente del ejecutivo y cuenta propia. Capturar ID y número de cuenta.</t>
  </si>
  <si>
    <t>HTTP 200; Tests: 1 aprobados, 0 fallidos. 116 ms.</t>
  </si>
  <si>
    <t>tests/bruno/Consultas/Preparacion del ejecutivo/Ficha del ejecutivo.bru</t>
  </si>
  <si>
    <t>CP-050</t>
  </si>
  <si>
    <t>Datos propios</t>
  </si>
  <si>
    <t>Mi cliente</t>
  </si>
  <si>
    <t>200; detalle del cliente autenticado y cuentas propias, sin credenciales.</t>
  </si>
  <si>
    <t>HTTP 200; Tests: 2 aprobados, 0 fallidos. 40 ms.</t>
  </si>
  <si>
    <t>tests/bruno/Consultas/Datos propios/Mi cliente.bru</t>
  </si>
  <si>
    <t>CP-051</t>
  </si>
  <si>
    <t>Cliente propio por ID</t>
  </si>
  <si>
    <t>/clientes/{{clienteId}}</t>
  </si>
  <si>
    <t>200; clienteId de la sesión, sin acceso ajeno.</t>
  </si>
  <si>
    <t>HTTP 200; Tests: 2 aprobados, 0 fallidos. 97 ms.</t>
  </si>
  <si>
    <t>9/10/2026, 11:30:05</t>
  </si>
  <si>
    <t>tests/bruno/Consultas/Datos propios/Cliente propio por ID.bru</t>
  </si>
  <si>
    <t>CP-052</t>
  </si>
  <si>
    <t>Mi cuenta</t>
  </si>
  <si>
    <t>/cuentas/{{numeroCuenta}}</t>
  </si>
  <si>
    <t>200; cuenta del cliente autenticado.</t>
  </si>
  <si>
    <t>HTTP 200; Tests: 2 aprobados, 0 fallidos. 65 ms.</t>
  </si>
  <si>
    <t>tests/bruno/Consultas/Datos propios/Mi cuenta.bru</t>
  </si>
  <si>
    <t>CP-053</t>
  </si>
  <si>
    <t>Mi saldo</t>
  </si>
  <si>
    <t>/cuentas/{{numeroCuenta}}/saldo</t>
  </si>
  <si>
    <t>200; número de cuenta propio y saldo numérico no negativo en el fixture QA.</t>
  </si>
  <si>
    <t>HTTP 200; Tests: 2 aprobados, 0 fallidos. 42 ms.</t>
  </si>
  <si>
    <t>tests/bruno/Consultas/Datos propios/Mi saldo.bru</t>
  </si>
  <si>
    <t>CP-054</t>
  </si>
  <si>
    <t>Mis cuentas</t>
  </si>
  <si>
    <t>/clientes/{{clienteId}}/cuentas</t>
  </si>
  <si>
    <t>200; lista de cuentas, todas del cliente autenticado.</t>
  </si>
  <si>
    <t>HTTP 200; Tests: 1 aprobados, 0 fallidos. 62 ms.</t>
  </si>
  <si>
    <t>tests/bruno/Consultas/Datos propios/Mis cuentas.bru</t>
  </si>
  <si>
    <t>CP-055</t>
  </si>
  <si>
    <t>Listados y filtros</t>
  </si>
  <si>
    <t>Listado paginado ejecutivo</t>
  </si>
  <si>
    <t>/clientes?page=0&amp;size=2&amp;ordenarPor=id&amp;direccion=ASC</t>
  </si>
  <si>
    <t>200; page 0, size 2, totales coherentes e IDs ascendentes. Capturar IDs y totales.</t>
  </si>
  <si>
    <t>HTTP 200; Tests: 2 aprobados, 0 fallidos. 198 ms.</t>
  </si>
  <si>
    <t>tests/bruno/Consultas/Listados y filtros/Listado paginado ejecutivo.bru</t>
  </si>
  <si>
    <t>CP-056</t>
  </si>
  <si>
    <t>Siguiente pagina ejecutivo</t>
  </si>
  <si>
    <t>/clientes?page=1&amp;size=2&amp;ordenarPor=id&amp;direccion=ASC</t>
  </si>
  <si>
    <t>Listado paginado ejecutivo primero; ejecutar enseguida sin modificar clientes entre páginas; tokenEjecutivo vigente.</t>
  </si>
  <si>
    <t>200; page 1, size 2, mismos totales e IDs distintos de la primera página.</t>
  </si>
  <si>
    <t>HTTP 200; Tests: 1 aprobados, 0 fallidos. 52 ms.</t>
  </si>
  <si>
    <t>tests/bruno/Consultas/Listados y filtros/Siguiente pagina ejecutivo.bru</t>
  </si>
  <si>
    <t>CP-057</t>
  </si>
  <si>
    <t>Pagina fuera del resultado</t>
  </si>
  <si>
    <t>/clientes?page={{paginaFueraResultado}}&amp;size=2&amp;ordenarPor=id&amp;direccion=ASC</t>
  </si>
  <si>
    <t>Listado paginado ejecutivo primero; usar los totales capturados para determinar página fuera del resultado.</t>
  </si>
  <si>
    <t>200; contenido vacío, page fuera del total y totales conservados.</t>
  </si>
  <si>
    <t>HTTP 200; Tests: 1 aprobados, 0 fallidos. 53 ms.</t>
  </si>
  <si>
    <t>tests/bruno/Consultas/Listados y filtros/Pagina fuera del resultado.bru</t>
  </si>
  <si>
    <t>CP-058</t>
  </si>
  <si>
    <t>Filtro por CURP</t>
  </si>
  <si>
    <t>/clientes?curp=LOPA040905HGTPRGA7</t>
  </si>
  <si>
    <t>200; cliente identificado por CURP.</t>
  </si>
  <si>
    <t>HTTP 200; Tests: 2 aprobados, 0 fallidos. 52 ms.</t>
  </si>
  <si>
    <t>tests/bruno/Consultas/Listados y filtros/Filtro por CURP.bru</t>
  </si>
  <si>
    <t>CP-059</t>
  </si>
  <si>
    <t>Buscar por RFC</t>
  </si>
  <si>
    <t>/clientes/buscar?rfc=LOPA040905MQ3</t>
  </si>
  <si>
    <t>200; ficha del cliente identificado por RFC.</t>
  </si>
  <si>
    <t>HTTP 200; Tests: 2 aprobados, 0 fallidos. 58 ms.</t>
  </si>
  <si>
    <t>tests/bruno/Consultas/Listados y filtros/Buscar por RFC.bru</t>
  </si>
  <si>
    <t>CP-060</t>
  </si>
  <si>
    <t>Buscar por cuenta</t>
  </si>
  <si>
    <t>/clientes/buscar?numeroCuenta={{numeroCuenta}}</t>
  </si>
  <si>
    <t>200; ficha del cliente titular de la cuenta.</t>
  </si>
  <si>
    <t>HTTP 200; Tests: 2 aprobados, 0 fallidos. 98 ms.</t>
  </si>
  <si>
    <t>tests/bruno/Consultas/Listados y filtros/Buscar por cuenta.bru</t>
  </si>
  <si>
    <t>CP-061</t>
  </si>
  <si>
    <t>Clientes por fechas</t>
  </si>
  <si>
    <t>/clientes?desde=2026-01-01&amp;hasta=2026-12-31</t>
  </si>
  <si>
    <t>200; fechas de registro presentes y dentro de desde/hasta.</t>
  </si>
  <si>
    <t>HTTP 200; Tests: 2 aprobados, 0 fallidos. 82 ms.</t>
  </si>
  <si>
    <t>tests/bruno/Consultas/Listados y filtros/Clientes por fechas.bru</t>
  </si>
  <si>
    <t>CP-062</t>
  </si>
  <si>
    <t>Cuentas activas</t>
  </si>
  <si>
    <t>/cuentas?activo=true</t>
  </si>
  <si>
    <t>200; todas las cuentas devueltas con estatus ACTIVA.</t>
  </si>
  <si>
    <t>HTTP 200; Tests: 2 aprobados, 0 fallidos. 60 ms.</t>
  </si>
  <si>
    <t>9/10/2026, 11:30:06</t>
  </si>
  <si>
    <t>tests/bruno/Consultas/Listados y filtros/Cuentas activas.bru</t>
  </si>
  <si>
    <t>CP-063</t>
  </si>
  <si>
    <t>Filtros combinados</t>
  </si>
  <si>
    <t>/clientes?correo=agustinlopezparra13%40gmail.com&amp;activo=true</t>
  </si>
  <si>
    <t>200; todos los criterios enviados se aplican con AND.</t>
  </si>
  <si>
    <t>HTTP 200; Tests: 2 aprobados, 0 fallidos. 50 ms.</t>
  </si>
  <si>
    <t>tests/bruno/Consultas/Listados y filtros/Filtros combinados.bru</t>
  </si>
  <si>
    <t>CP-064</t>
  </si>
  <si>
    <t>Filtros incompatibles</t>
  </si>
  <si>
    <t>/clientes?correo=agustinlopezparra13%40gmail.com&amp;curp={{ejecutivoCurp}}</t>
  </si>
  <si>
    <t>200; contenido vacío y totalElementos 0 para identificadores de distintos clientes.</t>
  </si>
  <si>
    <t>HTTP 200; Tests: 1 aprobados, 0 fallidos. 38 ms.</t>
  </si>
  <si>
    <t>tests/bruno/Consultas/Listados y filtros/Filtros incompatibles.bru</t>
  </si>
  <si>
    <t>CP-065</t>
  </si>
  <si>
    <t>Clientes activos</t>
  </si>
  <si>
    <t>/clientes?activo=true</t>
  </si>
  <si>
    <t>200; todos los clientes devueltos con estatus ACTIVO.</t>
  </si>
  <si>
    <t>HTTP 200; Tests: 1 aprobados, 0 fallidos. 68 ms.</t>
  </si>
  <si>
    <t>tests/bruno/Consultas/Listados y filtros/Clientes activos.bru</t>
  </si>
  <si>
    <t>CP-066</t>
  </si>
  <si>
    <t>Clientes inactivos</t>
  </si>
  <si>
    <t>/clientes?activo=false</t>
  </si>
  <si>
    <t>200; todos los clientes devueltos con estatus INACTIVO.</t>
  </si>
  <si>
    <t>HTTP 200; Tests: 1 aprobados, 0 fallidos. 48 ms.</t>
  </si>
  <si>
    <t>tests/bruno/Consultas/Listados y filtros/Clientes inactivos.bru</t>
  </si>
  <si>
    <t>CP-067</t>
  </si>
  <si>
    <t>Cliente inactivo por correo</t>
  </si>
  <si>
    <t>/clientes/buscar?correo=dulce.mantenimiento%40example.com</t>
  </si>
  <si>
    <t>200; ejecutivo obtiene cliente QA dado de baja, conservado INACTIVO.</t>
  </si>
  <si>
    <t>HTTP 200; Tests: 1 aprobados, 0 fallidos. 51 ms.</t>
  </si>
  <si>
    <t>tests/bruno/Consultas/Listados y filtros/Cliente inactivo por correo.bru</t>
  </si>
  <si>
    <t>CP-068</t>
  </si>
  <si>
    <t>Permisos y errores</t>
  </si>
  <si>
    <t>Cliente ajeno denegado</t>
  </si>
  <si>
    <t>/clientes/{{ejecutivoClienteId}}</t>
  </si>
  <si>
    <t>404 RECURSO_NO_ENCONTRADO; no revelar cliente ajeno al CLIENTE.</t>
  </si>
  <si>
    <t>HTTP 404; Tests: 2 aprobados, 0 fallidos. 31 ms.</t>
  </si>
  <si>
    <t>tests/bruno/Consultas/Permisos y errores/Cliente ajeno denegado.bru</t>
  </si>
  <si>
    <t>CP-069</t>
  </si>
  <si>
    <t>Cuenta ajena denegada</t>
  </si>
  <si>
    <t>/cuentas/{{ejecutivoNumeroCuenta}}</t>
  </si>
  <si>
    <t>404 RECURSO_NO_ENCONTRADO; no revelar cuenta ajena al CLIENTE.</t>
  </si>
  <si>
    <t>HTTP 404; Tests: 2 aprobados, 0 fallidos. 44 ms.</t>
  </si>
  <si>
    <t>tests/bruno/Consultas/Permisos y errores/Cuenta ajena denegada.bru</t>
  </si>
  <si>
    <t>CP-070</t>
  </si>
  <si>
    <t>Cliente inexistente</t>
  </si>
  <si>
    <t>/clientes/999999999999</t>
  </si>
  <si>
    <t>404 RECURSO_NO_ENCONTRADO.</t>
  </si>
  <si>
    <t>HTTP 404; Tests: 2 aprobados, 0 fallidos. 32 ms.</t>
  </si>
  <si>
    <t>tests/bruno/Consultas/Permisos y errores/Cliente inexistente.bru</t>
  </si>
  <si>
    <t>CP-071</t>
  </si>
  <si>
    <t>Busqueda inexistente ejecutivo</t>
  </si>
  <si>
    <t>/clientes/buscar?correo=no.existe.consulta%40example.com</t>
  </si>
  <si>
    <t>404 RECURSO_NO_ENCONTRADO en /clientes/buscar.</t>
  </si>
  <si>
    <t>HTTP 404; Tests: 2 aprobados, 0 fallidos. 43 ms.</t>
  </si>
  <si>
    <t>tests/bruno/Consultas/Permisos y errores/Busqueda inexistente ejecutivo.bru</t>
  </si>
  <si>
    <t>CP-072</t>
  </si>
  <si>
    <t>Listado denegado a cliente</t>
  </si>
  <si>
    <t>403 ACCESO_DENEGADO con token CLIENTE vigente.</t>
  </si>
  <si>
    <t>HTTP 403; Tests: 2 aprobados, 0 fallidos. 29 ms.</t>
  </si>
  <si>
    <t>tests/bruno/Consultas/Permisos y errores/Listado denegado a cliente.bru</t>
  </si>
  <si>
    <t>CP-073</t>
  </si>
  <si>
    <t>Consulta sin token</t>
  </si>
  <si>
    <t>tests/bruno/Consultas/Permisos y errores/Consulta sin token.bru</t>
  </si>
  <si>
    <t>CP-074</t>
  </si>
  <si>
    <t>Pagina invalida</t>
  </si>
  <si>
    <t>/clientes?size=101</t>
  </si>
  <si>
    <t>400 VALIDACION; size mayor que 100 rechazado en errores[].campo size.</t>
  </si>
  <si>
    <t>HTTP 400; Tests: 2 aprobados, 0 fallidos. 27 ms.</t>
  </si>
  <si>
    <t>tests/bruno/Consultas/Permisos y errores/Pagina invalida.bru</t>
  </si>
  <si>
    <t>CP-075</t>
  </si>
  <si>
    <t>Fecha invalida</t>
  </si>
  <si>
    <t>/clientes?desde=2026-02-30</t>
  </si>
  <si>
    <t>400 VALIDACION; desde inválida, mensaje utiliza YYYY-MM-DD.</t>
  </si>
  <si>
    <t>HTTP 400; Tests: 2 aprobados, 0 fallidos. 36 ms.</t>
  </si>
  <si>
    <t>tests/bruno/Consultas/Permisos y errores/Fecha invalida.bru</t>
  </si>
  <si>
    <t>CP-076</t>
  </si>
  <si>
    <t>Rango de fechas invertido</t>
  </si>
  <si>
    <t>/clientes?desde=2026-10-09&amp;hasta=2026-10-08</t>
  </si>
  <si>
    <t>400 VALIDACION; desde posterior a hasta, error de campo desde.</t>
  </si>
  <si>
    <t>tests/bruno/Consultas/Permisos y errores/Rango de fechas invertido.bru</t>
  </si>
  <si>
    <t>CP-077</t>
  </si>
  <si>
    <t>Listado cuentas denegado a cliente</t>
  </si>
  <si>
    <t>/cuentas</t>
  </si>
  <si>
    <t>HTTP 403; Tests: 1 aprobados, 0 fallidos. 15 ms.</t>
  </si>
  <si>
    <t>tests/bruno/Consultas/Permisos y errores/Listado cuentas denegado a cliente.bru</t>
  </si>
  <si>
    <t>CP-078</t>
  </si>
  <si>
    <t>Datos propios de perfiles QA</t>
  </si>
  <si>
    <t>Ficha Sofia</t>
  </si>
  <si>
    <t>200; ficha propia, teléfono y domicilio del fixture confirmado.</t>
  </si>
  <si>
    <t>HTTP 200; Tests: 1 aprobados, 0 fallidos. 42 ms.</t>
  </si>
  <si>
    <t>tests/bruno/Consultas/Datos propios de perfiles QA/Ficha Sofia.bru</t>
  </si>
  <si>
    <t>CP-079</t>
  </si>
  <si>
    <t>Ficha Nancy</t>
  </si>
  <si>
    <t>HTTP 200; Tests: 1 aprobados, 0 fallidos. 39 ms.</t>
  </si>
  <si>
    <t>tests/bruno/Consultas/Datos propios de perfiles QA/Ficha Nancy.bru</t>
  </si>
  <si>
    <t>CP-080</t>
  </si>
  <si>
    <t>Ficha Dulce</t>
  </si>
  <si>
    <t>HTTP 200; Tests: 1 aprobados, 0 fallidos. 46 ms.</t>
  </si>
  <si>
    <t>tests/bruno/Consultas/Datos propios de perfiles QA/Ficha Dulce.bru</t>
  </si>
  <si>
    <t>CP-081</t>
  </si>
  <si>
    <t>Preparacion del perfil QA</t>
  </si>
  <si>
    <t>Registro QA mantenimiento</t>
  </si>
  <si>
    <t>Para un ciclo nuevo, preparar otro perfil QA activo con identificadores únicos; cliente 6 / usuario 5 ya está inactivo. Usar las variables de mantenimiento.</t>
  </si>
  <si>
    <t>201; crear perfil QA separado para mantenimiento.</t>
  </si>
  <si>
    <t>HTTP 201; Tests: 1 aprobados, 0 fallidos. 583 ms.</t>
  </si>
  <si>
    <t>tests/bruno/Mantenimiento/Preparacion del perfil QA/Registro QA mantenimiento.bru</t>
  </si>
  <si>
    <t>CP-082</t>
  </si>
  <si>
    <t>Login mantenimiento</t>
  </si>
  <si>
    <t>200; capturar tokenMantenimiento del perfil QA activo.</t>
  </si>
  <si>
    <t>HTTP 200; Tests: 1 aprobados, 0 fallidos. 272 ms.</t>
  </si>
  <si>
    <t>9/10/2026, 11:30:07</t>
  </si>
  <si>
    <t>tests/bruno/Mantenimiento/Preparacion del perfil QA/Login mantenimiento.bru</t>
  </si>
  <si>
    <t>CP-083</t>
  </si>
  <si>
    <t>Usuario propio</t>
  </si>
  <si>
    <t>/usuarios/{{usuarioMantId}}</t>
  </si>
  <si>
    <t>CLIENTE QA · tokenMantenimiento</t>
  </si>
  <si>
    <t>200; identidad propia sin password/hash.</t>
  </si>
  <si>
    <t>tests/bruno/Mantenimiento/Preparacion del perfil QA/Usuario propio.bru</t>
  </si>
  <si>
    <t>CP-084</t>
  </si>
  <si>
    <t>Recuperar perfil mantenimiento</t>
  </si>
  <si>
    <t>200; capturar clienteMantId/usuarioMantId del perfil QA activo.</t>
  </si>
  <si>
    <t>HTTP 200; Tests: 1 aprobados, 0 fallidos. 29 ms.</t>
  </si>
  <si>
    <t>tests/bruno/Mantenimiento/Preparacion del perfil QA/Recuperar perfil mantenimiento.bru</t>
  </si>
  <si>
    <t>CP-085</t>
  </si>
  <si>
    <t>Recuperar ficha mantenimiento</t>
  </si>
  <si>
    <t>200; capturar cuentaMant y estado actual del cliente QA.</t>
  </si>
  <si>
    <t>HTTP 200; Tests: 1 aprobados, 0 fallidos. 40 ms.</t>
  </si>
  <si>
    <t>tests/bruno/Mantenimiento/Preparacion del perfil QA/Recuperar ficha mantenimiento.bru</t>
  </si>
  <si>
    <t>CP-086</t>
  </si>
  <si>
    <t>Actualizacion de datos</t>
  </si>
  <si>
    <t>Actualizar datos QA</t>
  </si>
  <si>
    <t>PUT</t>
  </si>
  <si>
    <t>/clientes/{{clienteMantId}}</t>
  </si>
  <si>
    <t>200; teléfono 4681046222, conservar RFC y número de cuenta.</t>
  </si>
  <si>
    <t>HTTP 200; Tests: 2 aprobados, 0 fallidos. 273 ms.</t>
  </si>
  <si>
    <t>9/10/2026, 11:30:08</t>
  </si>
  <si>
    <t>tests/bruno/Mantenimiento/Actualizacion de datos/Actualizar datos QA.bru</t>
  </si>
  <si>
    <t>CP-087</t>
  </si>
  <si>
    <t>CURP no editable</t>
  </si>
  <si>
    <t>400 VALIDACION; errores contiene campo curp y rechazo de modificación.</t>
  </si>
  <si>
    <t>HTTP 400; Tests: 2 aprobados, 0 fallidos. 38 ms.</t>
  </si>
  <si>
    <t>tests/bruno/Mantenimiento/Actualizacion de datos/CURP no editable.bru</t>
  </si>
  <si>
    <t>CP-088</t>
  </si>
  <si>
    <t>Correo duplicado al actualizar</t>
  </si>
  <si>
    <t>409; correoElectronico rechazado por unicidad.</t>
  </si>
  <si>
    <t>HTTP 409; Tests: 2 aprobados, 0 fallidos. 78 ms.</t>
  </si>
  <si>
    <t>tests/bruno/Mantenimiento/Actualizacion de datos/Correo duplicado al actualizar.bru</t>
  </si>
  <si>
    <t>CP-089</t>
  </si>
  <si>
    <t>Actualizar cliente ajeno</t>
  </si>
  <si>
    <t>404; CLIENTE no modifica otro cliente.</t>
  </si>
  <si>
    <t>HTTP 404; Tests: 2 aprobados, 0 fallidos. 33 ms.</t>
  </si>
  <si>
    <t>tests/bruno/Mantenimiento/Actualizacion de datos/Actualizar cliente ajeno.bru</t>
  </si>
  <si>
    <t>CP-090</t>
  </si>
  <si>
    <t>Contrasena</t>
  </si>
  <si>
    <t>Password actual incorrecta</t>
  </si>
  <si>
    <t>/usuarios/{{usuarioMantId}}/password</t>
  </si>
  <si>
    <t>401; rechazo controlado de contraseña actual incorrecta.</t>
  </si>
  <si>
    <t>HTTP 401; Tests: 2 aprobados, 0 fallidos. 282 ms.</t>
  </si>
  <si>
    <t>tests/bruno/Mantenimiento/Contrasena/Password actual incorrecta.bru</t>
  </si>
  <si>
    <t>CP-091</t>
  </si>
  <si>
    <t>Password nueva invalida</t>
  </si>
  <si>
    <t>400; validación de contraseña nueva.</t>
  </si>
  <si>
    <t>HTTP 400; Tests: 2 aprobados, 0 fallidos. 21 ms.</t>
  </si>
  <si>
    <t>tests/bruno/Mantenimiento/Contrasena/Password nueva invalida.bru</t>
  </si>
  <si>
    <t>CP-092</t>
  </si>
  <si>
    <t>Cambiar password QA</t>
  </si>
  <si>
    <t>204; contraseña cambiada. Guardar JWT anterior para comprobar revocación.</t>
  </si>
  <si>
    <t>HTTP 204; Tests: 1 aprobados, 0 fallidos. 507 ms.</t>
  </si>
  <si>
    <t>tests/bruno/Mantenimiento/Contrasena/Cambiar password QA.bru</t>
  </si>
  <si>
    <t>CP-093</t>
  </si>
  <si>
    <t>Token anterior revocado</t>
  </si>
  <si>
    <t>JWT previo QA · tokenMantAnterior</t>
  </si>
  <si>
    <t>En otro perfil QA activo: login → cambiar contraseña → usar tokenMantAnterior antes de expiresAt. No sustituirlo por JWT ausente/vencido.</t>
  </si>
  <si>
    <t>401 NO_AUTENTICADO con tokenMantAnterior todavía no vencido después de cambiar contraseña.</t>
  </si>
  <si>
    <t>HTTP 401; Tests: 2 aprobados, 0 fallidos. 15 ms.</t>
  </si>
  <si>
    <t>9/10/2026, 11:30:09</t>
  </si>
  <si>
    <t>tests/bruno/Mantenimiento/Contrasena/Token anterior revocado.bru</t>
  </si>
  <si>
    <t>CP-094</t>
  </si>
  <si>
    <t>Login con nueva password</t>
  </si>
  <si>
    <t>200; login con contraseña nueva y renovación de tokenMantenimiento.</t>
  </si>
  <si>
    <t>HTTP 200; Tests: 1 aprobados, 0 fallidos. 333 ms.</t>
  </si>
  <si>
    <t>tests/bruno/Mantenimiento/Contrasena/Login con nueva password.bru</t>
  </si>
  <si>
    <t>CP-095</t>
  </si>
  <si>
    <t>Baja logica</t>
  </si>
  <si>
    <t>Baja QA por ejecutivo</t>
  </si>
  <si>
    <t>DELETE</t>
  </si>
  <si>
    <t>Ejecutar al final del ciclo QA: login ejecutivo vigente → baja → consultas ejecutivo → JWT previo todavía vigente → login tras baja. No repetir sobre cliente 6.</t>
  </si>
  <si>
    <t>204; ejecutivo desactiva cliente QA, usuario y cuentas.</t>
  </si>
  <si>
    <t>HTTP 204; Tests: 1 aprobados, 0 fallidos. 100 ms.</t>
  </si>
  <si>
    <t>9/10/2026, 11:30:10</t>
  </si>
  <si>
    <t>tests/bruno/Mantenimiento/Baja logica/Baja QA por ejecutivo.bru</t>
  </si>
  <si>
    <t>CP-096</t>
  </si>
  <si>
    <t>Cliente conserva datos tras baja</t>
  </si>
  <si>
    <t>200 con ejecutivo; cliente conservado INACTIVO y todas sus cuentas INACTIVA.</t>
  </si>
  <si>
    <t>tests/bruno/Mantenimiento/Baja logica/Cliente conserva datos tras baja.bru</t>
  </si>
  <si>
    <t>CP-097</t>
  </si>
  <si>
    <t>Usuario desactivado</t>
  </si>
  <si>
    <t>200 con ejecutivo; usuario activo false.</t>
  </si>
  <si>
    <t>HTTP 200; Tests: 2 aprobados, 0 fallidos. 29 ms.</t>
  </si>
  <si>
    <t>tests/bruno/Mantenimiento/Baja logica/Usuario desactivado.bru</t>
  </si>
  <si>
    <t>CP-098</t>
  </si>
  <si>
    <t>JWT del cliente dado de baja</t>
  </si>
  <si>
    <t>401 NO_AUTENTICADO con último JWT del cliente todavía vigente.</t>
  </si>
  <si>
    <t>HTTP 401; Tests: 2 aprobados, 0 fallidos. 13 ms.</t>
  </si>
  <si>
    <t>tests/bruno/Mantenimiento/Baja logica/JWT del cliente dado de baja.bru</t>
  </si>
  <si>
    <t>CP-099</t>
  </si>
  <si>
    <t>Login tras baja</t>
  </si>
  <si>
    <t>401 CREDENCIALES_INVALIDAS con contraseña nueva correcta.</t>
  </si>
  <si>
    <t>tests/bruno/Mantenimiento/Baja logica/Login tras baja.bru</t>
  </si>
  <si>
    <t>CP-100</t>
  </si>
  <si>
    <t>Consulta del catalogo</t>
  </si>
  <si>
    <t>Consultar productos guardados</t>
  </si>
  <si>
    <t>/api/gestopago/productos</t>
  </si>
  <si>
    <t>200; lista de productos del catálogo local.</t>
  </si>
  <si>
    <t>HTTP 500; Tests: 0 aprobados, 2 fallidos. 1281 ms.</t>
  </si>
  <si>
    <t>tests/bruno/GestoPago/Consulta del catalogo/Consultar productos guardados.bru</t>
  </si>
  <si>
    <t>CP-101</t>
  </si>
  <si>
    <t>Obtener o sincronizar productos</t>
  </si>
  <si>
    <t>/api/gestopago/productos/sincronizar</t>
  </si>
  <si>
    <t>200; lista de productos del proveedor/catálogo según el flujo implementado.</t>
  </si>
  <si>
    <t>HTTP 500; Tests: 0 aprobados, 2 fallidos. 30 ms.</t>
  </si>
  <si>
    <t>9/10/2026, 11:30:11</t>
  </si>
  <si>
    <t>tests/bruno/GestoPago/Consulta del catalogo/Obtener o sincronizar productos.bru</t>
  </si>
  <si>
    <t>CP-102</t>
  </si>
  <si>
    <t>Sincronizacion forzada</t>
  </si>
  <si>
    <t>Productos antes de sincronizar</t>
  </si>
  <si>
    <t>JWT local de Login valido; catálogo local existente. Capturar catalogoAntes.</t>
  </si>
  <si>
    <t>200; IDs únicos. Capturar catalogoAntes.</t>
  </si>
  <si>
    <t>HTTP 500; Tests: 0 aprobados, 2 fallidos. 32 ms.</t>
  </si>
  <si>
    <t>tests/bruno/GestoPago/Sincronizacion forzada/Productos antes de sincronizar.bru</t>
  </si>
  <si>
    <t>CP-103</t>
  </si>
  <si>
    <t>Forzar sincronizacion</t>
  </si>
  <si>
    <t>/api/gestopago/productos/forzar-sincronizacion</t>
  </si>
  <si>
    <t>Productos antes de sincronizar; credenciales externas configuradas en backend y JWT local vigente. Consulta realmente al proveedor.</t>
  </si>
  <si>
    <t>200; catálogo descargado no vacío e IDs externos únicos.</t>
  </si>
  <si>
    <t>No ejecutado</t>
  </si>
  <si>
    <t>Sin HTTP; Tests no ejecutados. Ejecuta Productos antes de sincronizar antes de forzar la descarga.</t>
  </si>
  <si>
    <t>tests/bruno/GestoPago/Sincronizacion forzada/Forzar sincronizacion.bru</t>
  </si>
  <si>
    <t>CP-104</t>
  </si>
  <si>
    <t>Productos despues de sincronizar</t>
  </si>
  <si>
    <t>Antes → Forzar sincronizacion → Después, sin omitir capturas de variables. Repetir el ciclo para verificar idempotencia.</t>
  </si>
  <si>
    <t>200; IDs únicos, conserva ID local/fecha de creación y refleja campos descargados.</t>
  </si>
  <si>
    <t>Sin HTTP; Tests no ejecutados. Ejecuta Productos antes de sincronizar y Forzar sincronizacion en ese orden.</t>
  </si>
  <si>
    <t>tests/bruno/GestoPago/Sincronizacion forzada/Productos despues de sincronizar.bru</t>
  </si>
  <si>
    <t>CP-105</t>
  </si>
  <si>
    <t>Sincronizacion sin token</t>
  </si>
  <si>
    <t>Backend iniciado; ejecutar sin Bearer local. No usar el JWT del proveedor.</t>
  </si>
  <si>
    <t>401 NO_AUTENTICADO; no permitir sincronización sin JWT local.</t>
  </si>
  <si>
    <t>HTTP 401; Tests: 1 aprobados, 0 fallidos. 6 ms.</t>
  </si>
  <si>
    <t>tests/bruno/GestoPago/Sincronizacion forzada/Sincronizacion sin token.bru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</si>
</sst>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5">
    <font>
      <sz val="11.0"/>
      <color rgb="FF000000"/>
      <name val="Georgia"/>
      <scheme val="minor"/>
    </font>
    <font>
      <b/>
      <sz val="16.0"/>
      <color rgb="FF8B5A00"/>
      <name val="Arial"/>
    </font>
    <font>
      <b/>
      <sz val="10.0"/>
      <color rgb="FF637286"/>
      <name val="Arial"/>
    </font>
    <font>
      <b/>
      <sz val="10.0"/>
      <color rgb="FFFFFFFF"/>
      <name val="Arial"/>
    </font>
    <font>
      <sz val="10.0"/>
      <color rgb="FF253449"/>
      <name val="Arial"/>
    </font>
    <font>
      <b/>
      <sz val="10.0"/>
      <color rgb="FF17365D"/>
      <name val="Arial"/>
    </font>
    <font>
      <b/>
      <sz val="16.0"/>
      <color rgb="FF17365D"/>
      <name val="Arial"/>
    </font>
    <font>
      <b/>
      <sz val="18.0"/>
      <color rgb="FF000000"/>
      <name val="Arial"/>
    </font>
    <font>
      <i/>
      <sz val="10.0"/>
      <color rgb="FF637286"/>
      <name val="Arial"/>
    </font>
    <font>
      <color theme="1"/>
      <name val="Arial"/>
    </font>
    <font>
      <b/>
      <sz val="11.0"/>
      <color rgb="FF637286"/>
      <name val="Arial"/>
    </font>
    <font>
      <b/>
      <sz val="10.0"/>
      <color theme="1"/>
      <name val="Arial"/>
    </font>
    <font>
      <b/>
      <sz val="10.0"/>
      <color rgb="FF253449"/>
      <name val="Arial"/>
    </font>
    <font>
      <sz val="11.0"/>
      <color rgb="FF253449"/>
      <name val="Arial"/>
    </font>
    <font>
      <color theme="1"/>
      <name val="Georgia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FF9E9"/>
        <bgColor rgb="FFFFF9E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0" fillId="0" fontId="5" numFmtId="0" xfId="0" applyAlignment="1" applyFont="1">
      <alignment readingOrder="0"/>
    </xf>
    <xf borderId="1" fillId="0" fontId="4" numFmtId="0" xfId="0" applyBorder="1" applyFont="1"/>
    <xf borderId="1" fillId="0" fontId="4" numFmtId="1" xfId="0" applyAlignment="1" applyBorder="1" applyFont="1" applyNumberFormat="1">
      <alignment horizontal="right"/>
    </xf>
    <xf borderId="0" fillId="0" fontId="4" numFmtId="0" xfId="0" applyAlignment="1" applyFont="1">
      <alignment horizontal="right"/>
    </xf>
    <xf borderId="0" fillId="0" fontId="4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horizontal="center" readingOrder="0" shrinkToFit="0" vertical="center" wrapText="0"/>
    </xf>
    <xf borderId="2" fillId="2" fontId="3" numFmtId="0" xfId="0" applyAlignment="1" applyBorder="1" applyFill="1" applyFont="1">
      <alignment horizontal="center" readingOrder="0" shrinkToFit="0" vertical="center" wrapText="1"/>
    </xf>
    <xf borderId="1" fillId="0" fontId="12" numFmtId="0" xfId="0" applyBorder="1" applyFont="1"/>
    <xf borderId="1" fillId="0" fontId="12" numFmtId="1" xfId="0" applyAlignment="1" applyBorder="1" applyFont="1" applyNumberFormat="1">
      <alignment horizontal="right"/>
    </xf>
    <xf borderId="0" fillId="0" fontId="4" numFmtId="0" xfId="0" applyAlignment="1" applyFont="1">
      <alignment readingOrder="0" shrinkToFit="0" vertical="top" wrapText="1"/>
    </xf>
    <xf borderId="1" fillId="0" fontId="4" numFmtId="0" xfId="0" applyAlignment="1" applyBorder="1" applyFont="1">
      <alignment horizontal="right"/>
    </xf>
    <xf borderId="0" fillId="0" fontId="4" numFmtId="0" xfId="0" applyAlignment="1" applyFont="1">
      <alignment readingOrder="0" shrinkToFit="0" vertical="top" wrapText="1"/>
    </xf>
    <xf borderId="1" fillId="0" fontId="4" numFmtId="164" xfId="0" applyAlignment="1" applyBorder="1" applyFont="1" applyNumberFormat="1">
      <alignment horizontal="right"/>
    </xf>
    <xf borderId="1" fillId="2" fontId="3" numFmtId="0" xfId="0" applyAlignment="1" applyBorder="1" applyFill="1" applyFont="1">
      <alignment horizontal="right" shrinkToFit="0" vertical="center" wrapText="1"/>
    </xf>
    <xf borderId="0" fillId="0" fontId="4" numFmtId="0" xfId="0" applyAlignment="1" applyFont="1">
      <alignment shrinkToFit="0" vertical="top" wrapText="1"/>
    </xf>
    <xf borderId="2" fillId="3" fontId="13" numFmtId="1" xfId="0" applyAlignment="1" applyBorder="1" applyFill="1" applyFont="1" applyNumberFormat="1">
      <alignment readingOrder="0" shrinkToFit="0" vertical="top" wrapText="1"/>
    </xf>
    <xf borderId="2" fillId="3" fontId="4" numFmtId="0" xfId="0" applyAlignment="1" applyBorder="1" applyFill="1" applyFont="1">
      <alignment readingOrder="0" shrinkToFit="0" vertical="top" wrapText="1"/>
    </xf>
    <xf quotePrefix="1" borderId="2" fillId="3" fontId="4" numFmtId="0" xfId="0" applyAlignment="1" applyBorder="1" applyFill="1" applyFont="1">
      <alignment readingOrder="0" shrinkToFit="0" vertical="top" wrapText="1"/>
    </xf>
    <xf borderId="2" fillId="3" fontId="4" numFmtId="1" xfId="0" applyAlignment="1" applyBorder="1" applyFill="1" applyFont="1" applyNumberFormat="1">
      <alignment readingOrder="0" shrinkToFit="0" vertical="top" wrapText="1"/>
    </xf>
    <xf borderId="2" fillId="3" fontId="4" numFmtId="0" xfId="0" applyAlignment="1" applyBorder="1" applyFill="1" applyFont="1">
      <alignment readingOrder="0" shrinkToFit="0" vertical="top" wrapText="1"/>
    </xf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 shrinkToFit="0" vertical="center" wrapText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8B5A00"/>
      </font>
      <fill>
        <patternFill patternType="solid">
          <fgColor rgb="FFFFF0CE"/>
          <bgColor rgb="FFFFF0CE"/>
        </patternFill>
      </fill>
      <border/>
    </dxf>
    <dxf>
      <font>
        <b/>
        <color rgb="FFA61C00"/>
      </font>
      <fill>
        <patternFill patternType="solid">
          <fgColor rgb="FFFCE4D6"/>
          <bgColor rgb="FFFCE4D6"/>
        </patternFill>
      </fill>
      <border/>
    </dxf>
    <dxf>
      <font>
        <b/>
        <color rgb="FF7030A0"/>
      </font>
      <fill>
        <patternFill patternType="solid">
          <fgColor rgb="FFF2E5FA"/>
          <bgColor rgb="FFF2E5FA"/>
        </patternFill>
      </fill>
      <border/>
    </dxf>
    <dxf>
      <font>
        <b/>
        <color rgb="FF365F91"/>
      </font>
      <fill>
        <patternFill patternType="solid">
          <fgColor rgb="FFE9EFF7"/>
          <bgColor rgb="FFE9EFF7"/>
        </patternFill>
      </fill>
      <border/>
    </dxf>
  </dxfs>
  <tableStyles count="2">
    <tableStyle count="4" pivot="0" name="Matriz-style">
      <tableStyleElement dxfId="1" type="headerRow"/>
      <tableStyleElement dxfId="2" type="firstRowStripe"/>
      <tableStyleElement dxfId="3" type="secondRowStripe"/>
      <tableStyleElement dxfId="5" size="0" type="wholeTable"/>
    </tableStyle>
    <tableStyle count="4" pivot="0" name="Evidencias-style">
      <tableStyleElement dxfId="4" type="headerRow"/>
      <tableStyleElement dxfId="2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T111" displayName="MatrizPruebas" name="MatrizPruebas" id="2">
  <autoFilter ref="$A$6:$T$111"/>
  <tableColumns count="20">
    <tableColumn name="ID" id="1"/>
    <tableColumn name="Módulo" id="2"/>
    <tableColumn name="Grupo" id="3"/>
    <tableColumn name="Petición Bruno" id="4"/>
    <tableColumn name="Método" id="5"/>
    <tableColumn name="Endpoint y filtros" id="6"/>
    <tableColumn name="Sesión requerida" id="7"/>
    <tableColumn name="Precondiciones y pasos" id="8"/>
    <tableColumn name="HTTP esperado" id="9"/>
    <tableColumn name="Criterios de aceptación" id="10"/>
    <tableColumn name="HTTP obtenido" id="11"/>
    <tableColumn name="Resultado observado" id="12"/>
    <tableColumn name="Estado" id="13"/>
    <tableColumn name="Fecha ejecución" id="14"/>
    <tableColumn name="Responsable" id="15"/>
    <tableColumn name="Evidencia ID" id="16"/>
    <tableColumn name="Soporte" id="17"/>
    <tableColumn name="Observaciones" id="18"/>
    <tableColumn name="Fuente de la petición" id="19"/>
    <tableColumn name="Próxima acción" id="20"/>
  </tableColumns>
  <tableStyleInfo name="Matriz-style" showColumnStripes="0" showFirstColumn="1" showLastColumn="1" showRowStripes="1"/>
</table>
</file>

<file path=xl/tables/table2.xml><?xml version="1.0" encoding="utf-8"?>
<table xmlns="http://schemas.openxmlformats.org/spreadsheetml/2006/main" ref="A5:F110" displayName="IndiceEvidencias" name="IndiceEvidencias" id="1">
  <tableColumns count="6">
    <tableColumn name="Evidencia ID" id="1"/>
    <tableColumn name="Caso o bloque" id="2"/>
    <tableColumn name="Tipo de soporte" id="3"/>
    <tableColumn name="Respuesta HTTP" id="4"/>
    <tableColumn name="Tests" id="5"/>
    <tableColumn name="Observaciones" id="6"/>
  </tableColumns>
  <tableStyleInfo name="Evidenc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3438"/>
      </a:dk1>
      <a:lt1>
        <a:srgbClr val="FFFFFF"/>
      </a:lt1>
      <a:dk2>
        <a:srgbClr val="1A3438"/>
      </a:dk2>
      <a:lt2>
        <a:srgbClr val="FFFFFF"/>
      </a:lt2>
      <a:accent1>
        <a:srgbClr val="D77659"/>
      </a:accent1>
      <a:accent2>
        <a:srgbClr val="AB4028"/>
      </a:accent2>
      <a:accent3>
        <a:srgbClr val="004552"/>
      </a:accent3>
      <a:accent4>
        <a:srgbClr val="457D7C"/>
      </a:accent4>
      <a:accent5>
        <a:srgbClr val="50A6A6"/>
      </a:accent5>
      <a:accent6>
        <a:srgbClr val="9BCCC6"/>
      </a:accent6>
      <a:hlink>
        <a:srgbClr val="34A870"/>
      </a:hlink>
      <a:folHlink>
        <a:srgbClr val="34A870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365D"/>
    <pageSetUpPr/>
  </sheetPr>
  <sheetViews>
    <sheetView showGridLines="0" workbookViewId="0"/>
  </sheetViews>
  <sheetFormatPr customHeight="1" defaultColWidth="10.1" defaultRowHeight="15.0"/>
  <cols>
    <col customWidth="1" min="1" max="1" width="31.2"/>
    <col customWidth="1" min="2" max="7" width="16.8"/>
    <col customWidth="1" min="8" max="8" width="2.4"/>
    <col customWidth="1" min="9" max="9" width="80.8"/>
    <col customWidth="1" min="10" max="26" width="6.9"/>
  </cols>
  <sheetData>
    <row r="2">
      <c r="A2" s="1" t="s">
        <v>0</v>
      </c>
    </row>
    <row r="3">
      <c r="A3" s="2" t="s">
        <v>1</v>
      </c>
    </row>
    <row r="4">
      <c r="A4" s="2" t="s">
        <v>2</v>
      </c>
    </row>
    <row r="5" ht="33.75" customHeight="1">
      <c r="A5" s="3" t="s">
        <v>3</v>
      </c>
      <c r="B5" s="3" t="s">
        <v>4</v>
      </c>
      <c r="C5" s="4"/>
      <c r="D5" s="4"/>
      <c r="E5" s="4"/>
      <c r="F5" s="4"/>
      <c r="G5" s="4"/>
      <c r="H5" s="4"/>
      <c r="I5" s="5" t="s">
        <v>5</v>
      </c>
    </row>
    <row r="6" ht="24.75" customHeight="1">
      <c r="A6" s="6" t="s">
        <v>6</v>
      </c>
      <c r="B6" s="7">
        <f>COUNTIFS(Matriz!$M$7:$M$111,A6)</f>
        <v>96</v>
      </c>
      <c r="C6" s="8"/>
      <c r="D6" s="8"/>
      <c r="E6" s="8"/>
      <c r="F6" s="8"/>
      <c r="G6" s="8"/>
      <c r="H6" s="4"/>
      <c r="I6" s="9" t="s">
        <v>7</v>
      </c>
    </row>
    <row r="7" ht="24.75" customHeight="1">
      <c r="A7" s="6" t="s">
        <v>8</v>
      </c>
      <c r="B7" s="7">
        <f>COUNTIFS(Matriz!$M$7:$M$111,A7)</f>
        <v>0</v>
      </c>
      <c r="C7" s="8"/>
      <c r="D7" s="8"/>
      <c r="E7" s="8"/>
      <c r="F7" s="8"/>
      <c r="G7" s="8"/>
      <c r="H7" s="4"/>
      <c r="I7" s="9" t="s">
        <v>9</v>
      </c>
    </row>
    <row r="8" ht="24.75" customHeight="1">
      <c r="A8" s="6" t="s">
        <v>10</v>
      </c>
      <c r="B8" s="7">
        <f>COUNTIFS(Matriz!$M$7:$M$111,A8)</f>
        <v>0</v>
      </c>
      <c r="C8" s="8"/>
      <c r="D8" s="8"/>
      <c r="E8" s="8"/>
      <c r="F8" s="8"/>
      <c r="G8" s="8"/>
      <c r="H8" s="4"/>
      <c r="I8" s="9" t="s">
        <v>14</v>
      </c>
    </row>
    <row r="9" ht="24.75" customHeight="1">
      <c r="A9" s="6" t="s">
        <v>15</v>
      </c>
      <c r="B9" s="7">
        <f>COUNTIFS(Matriz!$M$7:$M$111,A9)</f>
        <v>7</v>
      </c>
      <c r="C9" s="8"/>
      <c r="D9" s="8"/>
      <c r="E9" s="8"/>
      <c r="F9" s="8"/>
      <c r="G9" s="8"/>
      <c r="H9" s="4"/>
      <c r="I9" s="9" t="s">
        <v>19</v>
      </c>
    </row>
    <row r="10" ht="24.75" customHeight="1">
      <c r="A10" s="6" t="s">
        <v>20</v>
      </c>
      <c r="B10" s="7">
        <f>COUNTIFS(Matriz!$M$7:$M$111,A10)</f>
        <v>2</v>
      </c>
      <c r="C10" s="8"/>
      <c r="D10" s="8"/>
      <c r="E10" s="8"/>
      <c r="F10" s="8"/>
      <c r="G10" s="8"/>
      <c r="H10" s="4"/>
      <c r="I10" s="9" t="s">
        <v>24</v>
      </c>
    </row>
    <row r="11" ht="24.75" customHeight="1">
      <c r="A11" s="17" t="s">
        <v>26</v>
      </c>
      <c r="B11" s="18">
        <f>SUM(B6:B10)</f>
        <v>105</v>
      </c>
      <c r="C11" s="8"/>
      <c r="D11" s="8"/>
      <c r="E11" s="8"/>
      <c r="F11" s="8"/>
      <c r="G11" s="8"/>
      <c r="H11" s="4"/>
      <c r="I11" s="4"/>
    </row>
    <row r="12" ht="24.75" customHeight="1">
      <c r="A12" s="6"/>
      <c r="B12" s="20"/>
      <c r="C12" s="8"/>
      <c r="D12" s="8"/>
      <c r="E12" s="8"/>
      <c r="F12" s="8"/>
      <c r="G12" s="8"/>
      <c r="H12" s="4"/>
      <c r="I12" s="9" t="s">
        <v>35</v>
      </c>
    </row>
    <row r="13" ht="24.75" customHeight="1">
      <c r="A13" s="6" t="s">
        <v>36</v>
      </c>
      <c r="B13" s="22">
        <f>IF(B11=0,"",B6/B11)</f>
        <v>0.9142857143</v>
      </c>
      <c r="C13" s="8"/>
      <c r="D13" s="8"/>
      <c r="E13" s="8"/>
      <c r="F13" s="8"/>
      <c r="G13" s="8"/>
      <c r="H13" s="4"/>
      <c r="I13" s="9" t="s">
        <v>45</v>
      </c>
    </row>
    <row r="14" ht="24.75" customHeight="1">
      <c r="A14" s="4"/>
      <c r="B14" s="8"/>
      <c r="C14" s="8"/>
      <c r="D14" s="8"/>
      <c r="E14" s="8"/>
      <c r="F14" s="8"/>
      <c r="G14" s="8"/>
      <c r="H14" s="4"/>
      <c r="I14" s="9" t="s">
        <v>47</v>
      </c>
    </row>
    <row r="15" ht="24.75" customHeight="1">
      <c r="A15" s="4"/>
      <c r="B15" s="8"/>
      <c r="C15" s="8"/>
      <c r="D15" s="8"/>
      <c r="E15" s="8"/>
      <c r="F15" s="8"/>
      <c r="G15" s="8"/>
      <c r="H15" s="4"/>
      <c r="I15" s="9" t="s">
        <v>50</v>
      </c>
    </row>
    <row r="16" ht="33.75" customHeight="1">
      <c r="A16" s="3" t="s">
        <v>22</v>
      </c>
      <c r="B16" s="23" t="s">
        <v>54</v>
      </c>
      <c r="C16" s="23" t="s">
        <v>6</v>
      </c>
      <c r="D16" s="23" t="s">
        <v>8</v>
      </c>
      <c r="E16" s="23" t="s">
        <v>10</v>
      </c>
      <c r="F16" s="23" t="s">
        <v>15</v>
      </c>
      <c r="G16" s="23" t="s">
        <v>20</v>
      </c>
      <c r="H16" s="4"/>
      <c r="I16" s="4"/>
    </row>
    <row r="17" ht="24.75" customHeight="1">
      <c r="A17" s="6" t="s">
        <v>58</v>
      </c>
      <c r="B17" s="20">
        <f>COUNTIFS(Matriz!$B$7:$B$111,$A17)</f>
        <v>13</v>
      </c>
      <c r="C17" s="20">
        <f>COUNTIFS(Matriz!$B$7:$B$111,$A17,Matriz!$M$7:$M$111,C$16)</f>
        <v>13</v>
      </c>
      <c r="D17" s="20">
        <f>COUNTIFS(Matriz!$B$7:$B$111,$A17,Matriz!$M$7:$M$111,D$16)</f>
        <v>0</v>
      </c>
      <c r="E17" s="20">
        <f>COUNTIFS(Matriz!$B$7:$B$111,$A17,Matriz!$M$7:$M$111,E$16)</f>
        <v>0</v>
      </c>
      <c r="F17" s="20">
        <f>COUNTIFS(Matriz!$B$7:$B$111,$A17,Matriz!$M$7:$M$111,F$16)</f>
        <v>0</v>
      </c>
      <c r="G17" s="20">
        <f>COUNTIFS(Matriz!$B$7:$B$111,$A17,Matriz!$M$7:$M$111,G$16)</f>
        <v>0</v>
      </c>
      <c r="H17" s="4"/>
      <c r="I17" s="9" t="s">
        <v>75</v>
      </c>
    </row>
    <row r="18" ht="24.75" customHeight="1">
      <c r="A18" s="6" t="s">
        <v>77</v>
      </c>
      <c r="B18" s="20">
        <f>COUNTIFS(Matriz!$B$7:$B$111,$A18)</f>
        <v>13</v>
      </c>
      <c r="C18" s="20">
        <f>COUNTIFS(Matriz!$B$7:$B$111,$A18,Matriz!$M$7:$M$111,C$16)</f>
        <v>9</v>
      </c>
      <c r="D18" s="20">
        <f>COUNTIFS(Matriz!$B$7:$B$111,$A18,Matriz!$M$7:$M$111,D$16)</f>
        <v>0</v>
      </c>
      <c r="E18" s="20">
        <f>COUNTIFS(Matriz!$B$7:$B$111,$A18,Matriz!$M$7:$M$111,E$16)</f>
        <v>0</v>
      </c>
      <c r="F18" s="20">
        <f>COUNTIFS(Matriz!$B$7:$B$111,$A18,Matriz!$M$7:$M$111,F$16)</f>
        <v>4</v>
      </c>
      <c r="G18" s="20">
        <f>COUNTIFS(Matriz!$B$7:$B$111,$A18,Matriz!$M$7:$M$111,G$16)</f>
        <v>0</v>
      </c>
      <c r="H18" s="4"/>
      <c r="I18" s="9" t="s">
        <v>88</v>
      </c>
    </row>
    <row r="19" ht="24.75" customHeight="1">
      <c r="A19" s="6" t="s">
        <v>89</v>
      </c>
      <c r="B19" s="20">
        <f>COUNTIFS(Matriz!$B$7:$B$111,$A19)</f>
        <v>19</v>
      </c>
      <c r="C19" s="20">
        <f>COUNTIFS(Matriz!$B$7:$B$111,$A19,Matriz!$M$7:$M$111,C$16)</f>
        <v>19</v>
      </c>
      <c r="D19" s="20">
        <f>COUNTIFS(Matriz!$B$7:$B$111,$A19,Matriz!$M$7:$M$111,D$16)</f>
        <v>0</v>
      </c>
      <c r="E19" s="20">
        <f>COUNTIFS(Matriz!$B$7:$B$111,$A19,Matriz!$M$7:$M$111,E$16)</f>
        <v>0</v>
      </c>
      <c r="F19" s="20">
        <f>COUNTIFS(Matriz!$B$7:$B$111,$A19,Matriz!$M$7:$M$111,F$16)</f>
        <v>0</v>
      </c>
      <c r="G19" s="20">
        <f>COUNTIFS(Matriz!$B$7:$B$111,$A19,Matriz!$M$7:$M$111,G$16)</f>
        <v>0</v>
      </c>
      <c r="H19" s="4"/>
      <c r="I19" s="9" t="s">
        <v>97</v>
      </c>
    </row>
    <row r="20" ht="24.75" customHeight="1">
      <c r="A20" s="6" t="s">
        <v>98</v>
      </c>
      <c r="B20" s="20">
        <f>COUNTIFS(Matriz!$B$7:$B$111,$A20)</f>
        <v>35</v>
      </c>
      <c r="C20" s="20">
        <f>COUNTIFS(Matriz!$B$7:$B$111,$A20,Matriz!$M$7:$M$111,C$16)</f>
        <v>35</v>
      </c>
      <c r="D20" s="20">
        <f>COUNTIFS(Matriz!$B$7:$B$111,$A20,Matriz!$M$7:$M$111,D$16)</f>
        <v>0</v>
      </c>
      <c r="E20" s="20">
        <f>COUNTIFS(Matriz!$B$7:$B$111,$A20,Matriz!$M$7:$M$111,E$16)</f>
        <v>0</v>
      </c>
      <c r="F20" s="20">
        <f>COUNTIFS(Matriz!$B$7:$B$111,$A20,Matriz!$M$7:$M$111,F$16)</f>
        <v>0</v>
      </c>
      <c r="G20" s="20">
        <f>COUNTIFS(Matriz!$B$7:$B$111,$A20,Matriz!$M$7:$M$111,G$16)</f>
        <v>0</v>
      </c>
      <c r="H20" s="4"/>
      <c r="I20" s="9" t="s">
        <v>110</v>
      </c>
    </row>
    <row r="21" ht="24.75" customHeight="1">
      <c r="A21" s="6" t="s">
        <v>111</v>
      </c>
      <c r="B21" s="20">
        <f>COUNTIFS(Matriz!$B$7:$B$111,$A21)</f>
        <v>19</v>
      </c>
      <c r="C21" s="20">
        <f>COUNTIFS(Matriz!$B$7:$B$111,$A21,Matriz!$M$7:$M$111,C$16)</f>
        <v>19</v>
      </c>
      <c r="D21" s="20">
        <f>COUNTIFS(Matriz!$B$7:$B$111,$A21,Matriz!$M$7:$M$111,D$16)</f>
        <v>0</v>
      </c>
      <c r="E21" s="20">
        <f>COUNTIFS(Matriz!$B$7:$B$111,$A21,Matriz!$M$7:$M$111,E$16)</f>
        <v>0</v>
      </c>
      <c r="F21" s="20">
        <f>COUNTIFS(Matriz!$B$7:$B$111,$A21,Matriz!$M$7:$M$111,F$16)</f>
        <v>0</v>
      </c>
      <c r="G21" s="20">
        <f>COUNTIFS(Matriz!$B$7:$B$111,$A21,Matriz!$M$7:$M$111,G$16)</f>
        <v>0</v>
      </c>
      <c r="H21" s="4"/>
      <c r="I21" s="4" t="s">
        <v>122</v>
      </c>
    </row>
    <row r="22" ht="24.75" customHeight="1">
      <c r="A22" s="6" t="s">
        <v>123</v>
      </c>
      <c r="B22" s="20">
        <f>COUNTIFS(Matriz!$B$7:$B$111,$A22)</f>
        <v>6</v>
      </c>
      <c r="C22" s="20">
        <f>COUNTIFS(Matriz!$B$7:$B$111,$A22,Matriz!$M$7:$M$111,C$16)</f>
        <v>1</v>
      </c>
      <c r="D22" s="20">
        <f>COUNTIFS(Matriz!$B$7:$B$111,$A22,Matriz!$M$7:$M$111,D$16)</f>
        <v>0</v>
      </c>
      <c r="E22" s="20">
        <f>COUNTIFS(Matriz!$B$7:$B$111,$A22,Matriz!$M$7:$M$111,E$16)</f>
        <v>0</v>
      </c>
      <c r="F22" s="20">
        <f>COUNTIFS(Matriz!$B$7:$B$111,$A22,Matriz!$M$7:$M$111,F$16)</f>
        <v>3</v>
      </c>
      <c r="G22" s="20">
        <f>COUNTIFS(Matriz!$B$7:$B$111,$A22,Matriz!$M$7:$M$111,G$16)</f>
        <v>2</v>
      </c>
      <c r="H22" s="4"/>
      <c r="I22" s="4"/>
    </row>
    <row r="23" ht="24.75" customHeight="1">
      <c r="A23" s="4"/>
      <c r="B23" s="8"/>
      <c r="C23" s="8"/>
      <c r="D23" s="8"/>
      <c r="E23" s="8"/>
      <c r="F23" s="8"/>
      <c r="G23" s="8"/>
      <c r="H23" s="4"/>
      <c r="I23" s="4" t="s">
        <v>139</v>
      </c>
    </row>
    <row r="24" ht="24.75" customHeight="1">
      <c r="A24" s="4"/>
      <c r="B24" s="8"/>
      <c r="C24" s="8"/>
      <c r="D24" s="8"/>
      <c r="E24" s="8"/>
      <c r="F24" s="8"/>
      <c r="G24" s="8"/>
      <c r="H24" s="4"/>
      <c r="I24" s="4" t="s">
        <v>140</v>
      </c>
    </row>
    <row r="25" ht="33.75" customHeight="1">
      <c r="A25" s="3" t="s">
        <v>142</v>
      </c>
      <c r="B25" s="23" t="s">
        <v>4</v>
      </c>
      <c r="C25" s="8"/>
      <c r="D25" s="8"/>
      <c r="E25" s="8"/>
      <c r="F25" s="8"/>
      <c r="G25" s="8"/>
      <c r="H25" s="4"/>
      <c r="I25" s="4" t="s">
        <v>143</v>
      </c>
    </row>
    <row r="26" ht="24.75" customHeight="1">
      <c r="A26" s="6" t="s">
        <v>144</v>
      </c>
      <c r="B26" s="20">
        <f>COUNTIFS(Matriz!$Q$7:$Q$111,A26)</f>
        <v>0</v>
      </c>
      <c r="C26" s="8"/>
      <c r="D26" s="8"/>
      <c r="E26" s="8"/>
      <c r="F26" s="8"/>
      <c r="G26" s="8"/>
      <c r="H26" s="4"/>
      <c r="I26" s="4" t="s">
        <v>151</v>
      </c>
    </row>
    <row r="27" ht="24.75" customHeight="1">
      <c r="A27" s="6" t="s">
        <v>152</v>
      </c>
      <c r="B27" s="20">
        <f>COUNTIFS(Matriz!$Q$7:$Q$111,A27)</f>
        <v>0</v>
      </c>
      <c r="C27" s="8"/>
      <c r="D27" s="8"/>
      <c r="E27" s="8"/>
      <c r="F27" s="8"/>
      <c r="G27" s="8"/>
      <c r="H27" s="4"/>
      <c r="I27" s="4" t="s">
        <v>156</v>
      </c>
    </row>
    <row r="28" ht="24.75" customHeight="1">
      <c r="A28" s="6" t="s">
        <v>158</v>
      </c>
      <c r="B28" s="20">
        <f>COUNTIFS(Matriz!$Q$7:$Q$111,A28)</f>
        <v>0</v>
      </c>
      <c r="C28" s="8"/>
      <c r="D28" s="8"/>
      <c r="E28" s="8"/>
      <c r="F28" s="8"/>
      <c r="G28" s="8"/>
      <c r="H28" s="4"/>
      <c r="I28" s="4"/>
    </row>
    <row r="29" ht="24.75" customHeight="1">
      <c r="A29" s="6" t="s">
        <v>162</v>
      </c>
      <c r="B29" s="20">
        <f>COUNTIFS(Matriz!$Q$7:$Q$111,A29)</f>
        <v>0</v>
      </c>
      <c r="C29" s="8"/>
      <c r="D29" s="8"/>
      <c r="E29" s="8"/>
      <c r="F29" s="8"/>
      <c r="G29" s="8"/>
      <c r="H29" s="4"/>
      <c r="I29" s="4"/>
    </row>
    <row r="30" ht="24.75" customHeight="1">
      <c r="A30" s="6" t="s">
        <v>167</v>
      </c>
      <c r="B30" s="20">
        <f>COUNTIFS(Matriz!$Q$7:$Q$111,A30)</f>
        <v>0</v>
      </c>
      <c r="C30" s="8"/>
      <c r="D30" s="8"/>
      <c r="E30" s="8"/>
      <c r="F30" s="8"/>
      <c r="G30" s="8"/>
      <c r="H30" s="4"/>
      <c r="I30" s="4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37286"/>
    <pageSetUpPr/>
  </sheetPr>
  <sheetViews>
    <sheetView showGridLines="0"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0.1" defaultRowHeight="15.0"/>
  <cols>
    <col customWidth="1" min="1" max="1" width="9.6"/>
    <col customWidth="1" min="2" max="2" width="20.8"/>
    <col customWidth="1" min="3" max="3" width="21.6"/>
    <col customWidth="1" min="4" max="4" width="25.6"/>
    <col customWidth="1" min="5" max="5" width="8.0"/>
    <col customWidth="1" min="6" max="6" width="45.6"/>
    <col customWidth="1" min="7" max="7" width="24.8"/>
    <col customWidth="1" min="8" max="8" width="52.8"/>
    <col customWidth="1" min="9" max="9" width="14.4"/>
    <col customWidth="1" min="10" max="10" width="57.6"/>
    <col customWidth="1" min="11" max="11" width="14.4"/>
    <col customWidth="1" min="12" max="12" width="52.0"/>
    <col customWidth="1" min="13" max="13" width="19.2"/>
    <col customWidth="1" min="14" max="15" width="14.4"/>
    <col customWidth="1" min="16" max="16" width="12.8"/>
    <col customWidth="1" min="17" max="17" width="21.6"/>
    <col customWidth="1" min="18" max="18" width="53.6"/>
    <col customWidth="1" min="19" max="19" width="61.6"/>
    <col customWidth="1" min="20" max="20" width="25.6"/>
    <col customWidth="1" min="21" max="26" width="6.9"/>
  </cols>
  <sheetData>
    <row r="2">
      <c r="A2" s="11" t="s">
        <v>12</v>
      </c>
      <c r="D2" s="13"/>
    </row>
    <row r="3">
      <c r="A3" s="14" t="s">
        <v>16</v>
      </c>
    </row>
    <row r="6" ht="33.75" customHeight="1">
      <c r="A6" s="16" t="s">
        <v>18</v>
      </c>
      <c r="B6" s="16" t="s">
        <v>22</v>
      </c>
      <c r="C6" s="16" t="s">
        <v>27</v>
      </c>
      <c r="D6" s="16" t="s">
        <v>29</v>
      </c>
      <c r="E6" s="16" t="s">
        <v>31</v>
      </c>
      <c r="F6" s="16" t="s">
        <v>33</v>
      </c>
      <c r="G6" s="16" t="s">
        <v>37</v>
      </c>
      <c r="H6" s="16" t="s">
        <v>40</v>
      </c>
      <c r="I6" s="16" t="s">
        <v>42</v>
      </c>
      <c r="J6" s="16" t="s">
        <v>46</v>
      </c>
      <c r="K6" s="16" t="s">
        <v>49</v>
      </c>
      <c r="L6" s="16" t="s">
        <v>51</v>
      </c>
      <c r="M6" s="16" t="s">
        <v>3</v>
      </c>
      <c r="N6" s="16" t="s">
        <v>53</v>
      </c>
      <c r="O6" s="16" t="s">
        <v>55</v>
      </c>
      <c r="P6" s="16" t="s">
        <v>17</v>
      </c>
      <c r="Q6" s="16" t="s">
        <v>59</v>
      </c>
      <c r="R6" s="16" t="s">
        <v>30</v>
      </c>
      <c r="S6" s="16" t="s">
        <v>61</v>
      </c>
      <c r="T6" s="16" t="s">
        <v>63</v>
      </c>
    </row>
    <row r="7" ht="37.5" customHeight="1">
      <c r="A7" s="24" t="s">
        <v>65</v>
      </c>
      <c r="B7" s="24" t="s">
        <v>58</v>
      </c>
      <c r="C7" s="24" t="s">
        <v>68</v>
      </c>
      <c r="D7" s="24" t="s">
        <v>70</v>
      </c>
      <c r="E7" s="24" t="s">
        <v>71</v>
      </c>
      <c r="F7" s="24" t="s">
        <v>72</v>
      </c>
      <c r="G7" s="24" t="s">
        <v>74</v>
      </c>
      <c r="H7" s="24" t="s">
        <v>76</v>
      </c>
      <c r="I7" s="24">
        <v>200.0</v>
      </c>
      <c r="J7" s="24" t="s">
        <v>79</v>
      </c>
      <c r="K7" s="25">
        <v>200.0</v>
      </c>
      <c r="L7" s="26" t="s">
        <v>81</v>
      </c>
      <c r="M7" s="26" t="s">
        <v>6</v>
      </c>
      <c r="N7" s="27" t="s">
        <v>86</v>
      </c>
      <c r="O7" s="26" t="s">
        <v>87</v>
      </c>
      <c r="P7" s="26" t="s">
        <v>32</v>
      </c>
      <c r="Q7" s="26" t="s">
        <v>38</v>
      </c>
      <c r="R7" s="26" t="s">
        <v>43</v>
      </c>
      <c r="S7" s="24" t="s">
        <v>93</v>
      </c>
      <c r="T7" s="24" t="str">
        <f t="shared" ref="T7:T111" si="1">IF(M7="Pendiente","Ejecutar y registrar evidencia",IF(M7="Reportado aprobado","Adjuntar evidencia individual",IF(M7="Fallido","Corregir y repetir",IF(M7="Bloqueado","Resolver precondición",IF(K7="","Registrar HTTP obtenido",IF(L7="","Registrar resultado",IF(N7="","Registrar fecha",IF(O7="","Registrar responsable",IF(P7="","Adjuntar evidencia",IF(Q7="Sin evidencia","Identificar soporte","Consolidado"))))))))))</f>
        <v>Consolidado</v>
      </c>
    </row>
    <row r="8" ht="37.5" customHeight="1">
      <c r="A8" s="24" t="s">
        <v>102</v>
      </c>
      <c r="B8" s="24" t="s">
        <v>58</v>
      </c>
      <c r="C8" s="24" t="s">
        <v>68</v>
      </c>
      <c r="D8" s="24" t="s">
        <v>104</v>
      </c>
      <c r="E8" s="24" t="s">
        <v>71</v>
      </c>
      <c r="F8" s="24" t="s">
        <v>106</v>
      </c>
      <c r="G8" s="24" t="s">
        <v>74</v>
      </c>
      <c r="H8" s="24" t="s">
        <v>76</v>
      </c>
      <c r="I8" s="24">
        <v>200.0</v>
      </c>
      <c r="J8" s="24" t="s">
        <v>108</v>
      </c>
      <c r="K8" s="28">
        <v>200.0</v>
      </c>
      <c r="L8" s="26" t="s">
        <v>113</v>
      </c>
      <c r="M8" s="29" t="s">
        <v>6</v>
      </c>
      <c r="N8" s="27" t="s">
        <v>86</v>
      </c>
      <c r="O8" s="26" t="s">
        <v>87</v>
      </c>
      <c r="P8" s="26" t="s">
        <v>44</v>
      </c>
      <c r="Q8" s="29" t="s">
        <v>38</v>
      </c>
      <c r="R8" s="29" t="s">
        <v>43</v>
      </c>
      <c r="S8" s="24" t="s">
        <v>118</v>
      </c>
      <c r="T8" s="24" t="str">
        <f t="shared" si="1"/>
        <v>Consolidado</v>
      </c>
    </row>
    <row r="9" ht="37.5" customHeight="1">
      <c r="A9" s="24" t="s">
        <v>121</v>
      </c>
      <c r="B9" s="24" t="s">
        <v>58</v>
      </c>
      <c r="C9" s="24" t="s">
        <v>68</v>
      </c>
      <c r="D9" s="24" t="s">
        <v>125</v>
      </c>
      <c r="E9" s="24" t="s">
        <v>71</v>
      </c>
      <c r="F9" s="24" t="s">
        <v>127</v>
      </c>
      <c r="G9" s="24" t="s">
        <v>74</v>
      </c>
      <c r="H9" s="24" t="s">
        <v>76</v>
      </c>
      <c r="I9" s="24">
        <v>200.0</v>
      </c>
      <c r="J9" s="24" t="s">
        <v>132</v>
      </c>
      <c r="K9" s="28">
        <v>200.0</v>
      </c>
      <c r="L9" s="29" t="s">
        <v>134</v>
      </c>
      <c r="M9" s="29" t="s">
        <v>6</v>
      </c>
      <c r="N9" s="27" t="s">
        <v>86</v>
      </c>
      <c r="O9" s="26" t="s">
        <v>87</v>
      </c>
      <c r="P9" s="26" t="s">
        <v>56</v>
      </c>
      <c r="Q9" s="29" t="s">
        <v>38</v>
      </c>
      <c r="R9" s="29" t="s">
        <v>43</v>
      </c>
      <c r="S9" s="24" t="s">
        <v>147</v>
      </c>
      <c r="T9" s="24" t="str">
        <f t="shared" si="1"/>
        <v>Consolidado</v>
      </c>
    </row>
    <row r="10" ht="37.5" customHeight="1">
      <c r="A10" s="24" t="s">
        <v>150</v>
      </c>
      <c r="B10" s="24" t="s">
        <v>58</v>
      </c>
      <c r="C10" s="24" t="s">
        <v>68</v>
      </c>
      <c r="D10" s="24" t="s">
        <v>155</v>
      </c>
      <c r="E10" s="24" t="s">
        <v>71</v>
      </c>
      <c r="F10" s="24" t="s">
        <v>159</v>
      </c>
      <c r="G10" s="24" t="s">
        <v>74</v>
      </c>
      <c r="H10" s="24" t="s">
        <v>76</v>
      </c>
      <c r="I10" s="24">
        <v>200.0</v>
      </c>
      <c r="J10" s="24" t="s">
        <v>163</v>
      </c>
      <c r="K10" s="28">
        <v>200.0</v>
      </c>
      <c r="L10" s="29" t="s">
        <v>165</v>
      </c>
      <c r="M10" s="29" t="s">
        <v>6</v>
      </c>
      <c r="N10" s="27" t="s">
        <v>86</v>
      </c>
      <c r="O10" s="26" t="s">
        <v>87</v>
      </c>
      <c r="P10" s="26" t="s">
        <v>62</v>
      </c>
      <c r="Q10" s="29" t="s">
        <v>38</v>
      </c>
      <c r="R10" s="29" t="s">
        <v>43</v>
      </c>
      <c r="S10" s="24" t="s">
        <v>170</v>
      </c>
      <c r="T10" s="24" t="str">
        <f t="shared" si="1"/>
        <v>Consolidado</v>
      </c>
    </row>
    <row r="11" ht="37.5" customHeight="1">
      <c r="A11" s="24" t="s">
        <v>172</v>
      </c>
      <c r="B11" s="24" t="s">
        <v>58</v>
      </c>
      <c r="C11" s="24" t="s">
        <v>175</v>
      </c>
      <c r="D11" s="24" t="s">
        <v>176</v>
      </c>
      <c r="E11" s="24" t="s">
        <v>71</v>
      </c>
      <c r="F11" s="24" t="s">
        <v>178</v>
      </c>
      <c r="G11" s="24" t="s">
        <v>74</v>
      </c>
      <c r="H11" s="24" t="s">
        <v>76</v>
      </c>
      <c r="I11" s="24">
        <v>200.0</v>
      </c>
      <c r="J11" s="24" t="s">
        <v>180</v>
      </c>
      <c r="K11" s="28">
        <v>200.0</v>
      </c>
      <c r="L11" s="29" t="s">
        <v>182</v>
      </c>
      <c r="M11" s="29" t="s">
        <v>6</v>
      </c>
      <c r="N11" s="27" t="s">
        <v>86</v>
      </c>
      <c r="O11" s="26" t="s">
        <v>87</v>
      </c>
      <c r="P11" s="26" t="s">
        <v>67</v>
      </c>
      <c r="Q11" s="29" t="s">
        <v>38</v>
      </c>
      <c r="R11" s="29" t="s">
        <v>43</v>
      </c>
      <c r="S11" s="24" t="s">
        <v>187</v>
      </c>
      <c r="T11" s="24" t="str">
        <f t="shared" si="1"/>
        <v>Consolidado</v>
      </c>
    </row>
    <row r="12" ht="37.5" customHeight="1">
      <c r="A12" s="24" t="s">
        <v>190</v>
      </c>
      <c r="B12" s="24" t="s">
        <v>58</v>
      </c>
      <c r="C12" s="24" t="s">
        <v>175</v>
      </c>
      <c r="D12" s="24" t="s">
        <v>192</v>
      </c>
      <c r="E12" s="24" t="s">
        <v>71</v>
      </c>
      <c r="F12" s="24" t="s">
        <v>195</v>
      </c>
      <c r="G12" s="24" t="s">
        <v>74</v>
      </c>
      <c r="H12" s="24" t="s">
        <v>76</v>
      </c>
      <c r="I12" s="24">
        <v>200.0</v>
      </c>
      <c r="J12" s="24" t="s">
        <v>199</v>
      </c>
      <c r="K12" s="28">
        <v>200.0</v>
      </c>
      <c r="L12" s="29" t="s">
        <v>201</v>
      </c>
      <c r="M12" s="29" t="s">
        <v>6</v>
      </c>
      <c r="N12" s="27" t="s">
        <v>86</v>
      </c>
      <c r="O12" s="26" t="s">
        <v>87</v>
      </c>
      <c r="P12" s="26" t="s">
        <v>78</v>
      </c>
      <c r="Q12" s="29" t="s">
        <v>38</v>
      </c>
      <c r="R12" s="29" t="s">
        <v>43</v>
      </c>
      <c r="S12" s="24" t="s">
        <v>207</v>
      </c>
      <c r="T12" s="24" t="str">
        <f t="shared" si="1"/>
        <v>Consolidado</v>
      </c>
    </row>
    <row r="13" ht="37.5" customHeight="1">
      <c r="A13" s="24" t="s">
        <v>210</v>
      </c>
      <c r="B13" s="24" t="s">
        <v>58</v>
      </c>
      <c r="C13" s="24" t="s">
        <v>175</v>
      </c>
      <c r="D13" s="24" t="s">
        <v>213</v>
      </c>
      <c r="E13" s="24" t="s">
        <v>71</v>
      </c>
      <c r="F13" s="24" t="s">
        <v>216</v>
      </c>
      <c r="G13" s="24" t="s">
        <v>74</v>
      </c>
      <c r="H13" s="24" t="s">
        <v>76</v>
      </c>
      <c r="I13" s="24">
        <v>200.0</v>
      </c>
      <c r="J13" s="24" t="s">
        <v>219</v>
      </c>
      <c r="K13" s="28">
        <v>200.0</v>
      </c>
      <c r="L13" s="29" t="s">
        <v>134</v>
      </c>
      <c r="M13" s="29" t="s">
        <v>6</v>
      </c>
      <c r="N13" s="27" t="s">
        <v>86</v>
      </c>
      <c r="O13" s="26" t="s">
        <v>87</v>
      </c>
      <c r="P13" s="26" t="s">
        <v>84</v>
      </c>
      <c r="Q13" s="29" t="s">
        <v>38</v>
      </c>
      <c r="R13" s="29" t="s">
        <v>43</v>
      </c>
      <c r="S13" s="24" t="s">
        <v>229</v>
      </c>
      <c r="T13" s="24" t="str">
        <f t="shared" si="1"/>
        <v>Consolidado</v>
      </c>
    </row>
    <row r="14" ht="37.5" customHeight="1">
      <c r="A14" s="24" t="s">
        <v>232</v>
      </c>
      <c r="B14" s="24" t="s">
        <v>58</v>
      </c>
      <c r="C14" s="24" t="s">
        <v>234</v>
      </c>
      <c r="D14" s="24" t="s">
        <v>235</v>
      </c>
      <c r="E14" s="24" t="s">
        <v>236</v>
      </c>
      <c r="F14" s="24" t="s">
        <v>237</v>
      </c>
      <c r="G14" s="24" t="s">
        <v>74</v>
      </c>
      <c r="H14" s="24" t="s">
        <v>76</v>
      </c>
      <c r="I14" s="24">
        <v>400.0</v>
      </c>
      <c r="J14" s="24" t="s">
        <v>241</v>
      </c>
      <c r="K14" s="28">
        <v>400.0</v>
      </c>
      <c r="L14" s="29" t="s">
        <v>242</v>
      </c>
      <c r="M14" s="29" t="s">
        <v>6</v>
      </c>
      <c r="N14" s="27" t="s">
        <v>86</v>
      </c>
      <c r="O14" s="26" t="s">
        <v>87</v>
      </c>
      <c r="P14" s="26" t="s">
        <v>91</v>
      </c>
      <c r="Q14" s="29" t="s">
        <v>38</v>
      </c>
      <c r="R14" s="29" t="s">
        <v>43</v>
      </c>
      <c r="S14" s="24" t="s">
        <v>248</v>
      </c>
      <c r="T14" s="24" t="str">
        <f t="shared" si="1"/>
        <v>Consolidado</v>
      </c>
    </row>
    <row r="15" ht="37.5" customHeight="1">
      <c r="A15" s="24" t="s">
        <v>251</v>
      </c>
      <c r="B15" s="24" t="s">
        <v>58</v>
      </c>
      <c r="C15" s="24" t="s">
        <v>234</v>
      </c>
      <c r="D15" s="24" t="s">
        <v>254</v>
      </c>
      <c r="E15" s="24" t="s">
        <v>236</v>
      </c>
      <c r="F15" s="24" t="s">
        <v>237</v>
      </c>
      <c r="G15" s="24" t="s">
        <v>74</v>
      </c>
      <c r="H15" s="24" t="s">
        <v>76</v>
      </c>
      <c r="I15" s="24">
        <v>400.0</v>
      </c>
      <c r="J15" s="24" t="s">
        <v>258</v>
      </c>
      <c r="K15" s="28">
        <v>400.0</v>
      </c>
      <c r="L15" s="29" t="s">
        <v>259</v>
      </c>
      <c r="M15" s="29" t="s">
        <v>6</v>
      </c>
      <c r="N15" s="27" t="s">
        <v>86</v>
      </c>
      <c r="O15" s="26" t="s">
        <v>87</v>
      </c>
      <c r="P15" s="26" t="s">
        <v>96</v>
      </c>
      <c r="Q15" s="29" t="s">
        <v>38</v>
      </c>
      <c r="R15" s="29" t="s">
        <v>43</v>
      </c>
      <c r="S15" s="24" t="s">
        <v>264</v>
      </c>
      <c r="T15" s="24" t="str">
        <f t="shared" si="1"/>
        <v>Consolidado</v>
      </c>
    </row>
    <row r="16" ht="37.5" customHeight="1">
      <c r="A16" s="24" t="s">
        <v>266</v>
      </c>
      <c r="B16" s="24" t="s">
        <v>58</v>
      </c>
      <c r="C16" s="24" t="s">
        <v>234</v>
      </c>
      <c r="D16" s="24" t="s">
        <v>268</v>
      </c>
      <c r="E16" s="24" t="s">
        <v>236</v>
      </c>
      <c r="F16" s="24" t="s">
        <v>237</v>
      </c>
      <c r="G16" s="24" t="s">
        <v>74</v>
      </c>
      <c r="H16" s="24" t="s">
        <v>76</v>
      </c>
      <c r="I16" s="24">
        <v>400.0</v>
      </c>
      <c r="J16" s="24" t="s">
        <v>270</v>
      </c>
      <c r="K16" s="28">
        <v>400.0</v>
      </c>
      <c r="L16" s="29" t="s">
        <v>272</v>
      </c>
      <c r="M16" s="29" t="s">
        <v>6</v>
      </c>
      <c r="N16" s="27" t="s">
        <v>86</v>
      </c>
      <c r="O16" s="26" t="s">
        <v>87</v>
      </c>
      <c r="P16" s="26" t="s">
        <v>101</v>
      </c>
      <c r="Q16" s="29" t="s">
        <v>38</v>
      </c>
      <c r="R16" s="29" t="s">
        <v>43</v>
      </c>
      <c r="S16" s="24" t="s">
        <v>278</v>
      </c>
      <c r="T16" s="24" t="str">
        <f t="shared" si="1"/>
        <v>Consolidado</v>
      </c>
    </row>
    <row r="17" ht="37.5" customHeight="1">
      <c r="A17" s="24" t="s">
        <v>282</v>
      </c>
      <c r="B17" s="24" t="s">
        <v>58</v>
      </c>
      <c r="C17" s="24" t="s">
        <v>234</v>
      </c>
      <c r="D17" s="24" t="s">
        <v>285</v>
      </c>
      <c r="E17" s="24" t="s">
        <v>236</v>
      </c>
      <c r="F17" s="24" t="s">
        <v>237</v>
      </c>
      <c r="G17" s="24" t="s">
        <v>74</v>
      </c>
      <c r="H17" s="24" t="s">
        <v>76</v>
      </c>
      <c r="I17" s="24">
        <v>400.0</v>
      </c>
      <c r="J17" s="24" t="s">
        <v>289</v>
      </c>
      <c r="K17" s="28">
        <v>400.0</v>
      </c>
      <c r="L17" s="29" t="s">
        <v>291</v>
      </c>
      <c r="M17" s="29" t="s">
        <v>6</v>
      </c>
      <c r="N17" s="27" t="s">
        <v>86</v>
      </c>
      <c r="O17" s="26" t="s">
        <v>87</v>
      </c>
      <c r="P17" s="26" t="s">
        <v>107</v>
      </c>
      <c r="Q17" s="29" t="s">
        <v>38</v>
      </c>
      <c r="R17" s="29" t="s">
        <v>43</v>
      </c>
      <c r="S17" s="24" t="s">
        <v>297</v>
      </c>
      <c r="T17" s="24" t="str">
        <f t="shared" si="1"/>
        <v>Consolidado</v>
      </c>
    </row>
    <row r="18" ht="37.5" customHeight="1">
      <c r="A18" s="24" t="s">
        <v>299</v>
      </c>
      <c r="B18" s="24" t="s">
        <v>58</v>
      </c>
      <c r="C18" s="24" t="s">
        <v>234</v>
      </c>
      <c r="D18" s="24" t="s">
        <v>301</v>
      </c>
      <c r="E18" s="24" t="s">
        <v>236</v>
      </c>
      <c r="F18" s="24" t="s">
        <v>237</v>
      </c>
      <c r="G18" s="24" t="s">
        <v>74</v>
      </c>
      <c r="H18" s="24" t="s">
        <v>76</v>
      </c>
      <c r="I18" s="24">
        <v>400.0</v>
      </c>
      <c r="J18" s="24" t="s">
        <v>306</v>
      </c>
      <c r="K18" s="28">
        <v>400.0</v>
      </c>
      <c r="L18" s="29" t="s">
        <v>308</v>
      </c>
      <c r="M18" s="29" t="s">
        <v>6</v>
      </c>
      <c r="N18" s="27" t="s">
        <v>86</v>
      </c>
      <c r="O18" s="26" t="s">
        <v>87</v>
      </c>
      <c r="P18" s="26" t="s">
        <v>114</v>
      </c>
      <c r="Q18" s="29" t="s">
        <v>38</v>
      </c>
      <c r="R18" s="29" t="s">
        <v>43</v>
      </c>
      <c r="S18" s="24" t="s">
        <v>313</v>
      </c>
      <c r="T18" s="24" t="str">
        <f t="shared" si="1"/>
        <v>Consolidado</v>
      </c>
    </row>
    <row r="19" ht="37.5" customHeight="1">
      <c r="A19" s="24" t="s">
        <v>316</v>
      </c>
      <c r="B19" s="24" t="s">
        <v>58</v>
      </c>
      <c r="C19" s="24" t="s">
        <v>234</v>
      </c>
      <c r="D19" s="24" t="s">
        <v>319</v>
      </c>
      <c r="E19" s="24" t="s">
        <v>236</v>
      </c>
      <c r="F19" s="24" t="s">
        <v>237</v>
      </c>
      <c r="G19" s="24" t="s">
        <v>74</v>
      </c>
      <c r="H19" s="24" t="s">
        <v>76</v>
      </c>
      <c r="I19" s="24">
        <v>400.0</v>
      </c>
      <c r="J19" s="24" t="s">
        <v>324</v>
      </c>
      <c r="K19" s="28">
        <v>400.0</v>
      </c>
      <c r="L19" s="29" t="s">
        <v>327</v>
      </c>
      <c r="M19" s="29" t="s">
        <v>6</v>
      </c>
      <c r="N19" s="27" t="s">
        <v>329</v>
      </c>
      <c r="O19" s="26" t="s">
        <v>87</v>
      </c>
      <c r="P19" s="26" t="s">
        <v>117</v>
      </c>
      <c r="Q19" s="29" t="s">
        <v>38</v>
      </c>
      <c r="R19" s="29" t="s">
        <v>43</v>
      </c>
      <c r="S19" s="24" t="s">
        <v>334</v>
      </c>
      <c r="T19" s="24" t="str">
        <f t="shared" si="1"/>
        <v>Consolidado</v>
      </c>
    </row>
    <row r="20" ht="37.5" customHeight="1">
      <c r="A20" s="24" t="s">
        <v>338</v>
      </c>
      <c r="B20" s="24" t="s">
        <v>77</v>
      </c>
      <c r="C20" s="24" t="s">
        <v>340</v>
      </c>
      <c r="D20" s="24" t="s">
        <v>341</v>
      </c>
      <c r="E20" s="24" t="s">
        <v>236</v>
      </c>
      <c r="F20" s="24" t="s">
        <v>237</v>
      </c>
      <c r="G20" s="24" t="s">
        <v>74</v>
      </c>
      <c r="H20" s="24" t="s">
        <v>346</v>
      </c>
      <c r="I20" s="24">
        <v>201.0</v>
      </c>
      <c r="J20" s="24" t="s">
        <v>348</v>
      </c>
      <c r="K20" s="28">
        <v>409.0</v>
      </c>
      <c r="L20" s="29" t="s">
        <v>350</v>
      </c>
      <c r="M20" s="29" t="s">
        <v>15</v>
      </c>
      <c r="N20" s="27" t="s">
        <v>329</v>
      </c>
      <c r="O20" s="26" t="s">
        <v>87</v>
      </c>
      <c r="P20" s="26" t="s">
        <v>124</v>
      </c>
      <c r="Q20" s="29" t="s">
        <v>38</v>
      </c>
      <c r="R20" s="29" t="s">
        <v>130</v>
      </c>
      <c r="S20" s="24" t="s">
        <v>357</v>
      </c>
      <c r="T20" s="24" t="str">
        <f t="shared" si="1"/>
        <v>Corregir y repetir</v>
      </c>
    </row>
    <row r="21" ht="37.5" customHeight="1">
      <c r="A21" s="24" t="s">
        <v>360</v>
      </c>
      <c r="B21" s="24" t="s">
        <v>77</v>
      </c>
      <c r="C21" s="24" t="s">
        <v>340</v>
      </c>
      <c r="D21" s="24" t="s">
        <v>363</v>
      </c>
      <c r="E21" s="24" t="s">
        <v>236</v>
      </c>
      <c r="F21" s="24" t="s">
        <v>237</v>
      </c>
      <c r="G21" s="24" t="s">
        <v>74</v>
      </c>
      <c r="H21" s="24" t="s">
        <v>346</v>
      </c>
      <c r="I21" s="24">
        <v>201.0</v>
      </c>
      <c r="J21" s="24" t="s">
        <v>368</v>
      </c>
      <c r="K21" s="28">
        <v>201.0</v>
      </c>
      <c r="L21" s="29" t="s">
        <v>371</v>
      </c>
      <c r="M21" s="29" t="s">
        <v>6</v>
      </c>
      <c r="N21" s="27" t="s">
        <v>329</v>
      </c>
      <c r="O21" s="26" t="s">
        <v>87</v>
      </c>
      <c r="P21" s="26" t="s">
        <v>131</v>
      </c>
      <c r="Q21" s="29" t="s">
        <v>38</v>
      </c>
      <c r="R21" s="29" t="s">
        <v>43</v>
      </c>
      <c r="S21" s="24" t="s">
        <v>372</v>
      </c>
      <c r="T21" s="24" t="str">
        <f t="shared" si="1"/>
        <v>Consolidado</v>
      </c>
    </row>
    <row r="22" ht="37.5" customHeight="1">
      <c r="A22" s="24" t="s">
        <v>374</v>
      </c>
      <c r="B22" s="24" t="s">
        <v>77</v>
      </c>
      <c r="C22" s="24" t="s">
        <v>340</v>
      </c>
      <c r="D22" s="24" t="s">
        <v>377</v>
      </c>
      <c r="E22" s="24" t="s">
        <v>236</v>
      </c>
      <c r="F22" s="24" t="s">
        <v>237</v>
      </c>
      <c r="G22" s="24" t="s">
        <v>74</v>
      </c>
      <c r="H22" s="24" t="s">
        <v>346</v>
      </c>
      <c r="I22" s="24">
        <v>201.0</v>
      </c>
      <c r="J22" s="24" t="s">
        <v>368</v>
      </c>
      <c r="K22" s="28">
        <v>201.0</v>
      </c>
      <c r="L22" s="29" t="s">
        <v>381</v>
      </c>
      <c r="M22" s="29" t="s">
        <v>6</v>
      </c>
      <c r="N22" s="27" t="s">
        <v>329</v>
      </c>
      <c r="O22" s="26" t="s">
        <v>87</v>
      </c>
      <c r="P22" s="26" t="s">
        <v>137</v>
      </c>
      <c r="Q22" s="29" t="s">
        <v>38</v>
      </c>
      <c r="R22" s="29" t="s">
        <v>43</v>
      </c>
      <c r="S22" s="24" t="s">
        <v>386</v>
      </c>
      <c r="T22" s="24" t="str">
        <f t="shared" si="1"/>
        <v>Consolidado</v>
      </c>
    </row>
    <row r="23" ht="37.5" customHeight="1">
      <c r="A23" s="24" t="s">
        <v>388</v>
      </c>
      <c r="B23" s="24" t="s">
        <v>77</v>
      </c>
      <c r="C23" s="24" t="s">
        <v>340</v>
      </c>
      <c r="D23" s="24" t="s">
        <v>390</v>
      </c>
      <c r="E23" s="24" t="s">
        <v>236</v>
      </c>
      <c r="F23" s="24" t="s">
        <v>237</v>
      </c>
      <c r="G23" s="24" t="s">
        <v>74</v>
      </c>
      <c r="H23" s="24" t="s">
        <v>346</v>
      </c>
      <c r="I23" s="24">
        <v>201.0</v>
      </c>
      <c r="J23" s="24" t="s">
        <v>368</v>
      </c>
      <c r="K23" s="28">
        <v>409.0</v>
      </c>
      <c r="L23" s="29" t="s">
        <v>394</v>
      </c>
      <c r="M23" s="29" t="s">
        <v>15</v>
      </c>
      <c r="N23" s="27" t="s">
        <v>397</v>
      </c>
      <c r="O23" s="29" t="s">
        <v>399</v>
      </c>
      <c r="P23" s="26" t="s">
        <v>145</v>
      </c>
      <c r="Q23" s="29" t="s">
        <v>38</v>
      </c>
      <c r="R23" s="29" t="s">
        <v>130</v>
      </c>
      <c r="S23" s="24" t="s">
        <v>403</v>
      </c>
      <c r="T23" s="24" t="str">
        <f t="shared" si="1"/>
        <v>Corregir y repetir</v>
      </c>
    </row>
    <row r="24" ht="37.5" customHeight="1">
      <c r="A24" s="24" t="s">
        <v>404</v>
      </c>
      <c r="B24" s="24" t="s">
        <v>77</v>
      </c>
      <c r="C24" s="24" t="s">
        <v>234</v>
      </c>
      <c r="D24" s="24" t="s">
        <v>407</v>
      </c>
      <c r="E24" s="24" t="s">
        <v>236</v>
      </c>
      <c r="F24" s="24" t="s">
        <v>237</v>
      </c>
      <c r="G24" s="24" t="s">
        <v>74</v>
      </c>
      <c r="H24" s="24" t="s">
        <v>76</v>
      </c>
      <c r="I24" s="24">
        <v>400.0</v>
      </c>
      <c r="J24" s="24" t="s">
        <v>411</v>
      </c>
      <c r="K24" s="28">
        <v>400.0</v>
      </c>
      <c r="L24" s="29" t="s">
        <v>413</v>
      </c>
      <c r="M24" s="29" t="s">
        <v>6</v>
      </c>
      <c r="N24" s="27" t="s">
        <v>397</v>
      </c>
      <c r="O24" s="26" t="s">
        <v>416</v>
      </c>
      <c r="P24" s="26" t="s">
        <v>153</v>
      </c>
      <c r="Q24" s="29" t="s">
        <v>38</v>
      </c>
      <c r="R24" s="29" t="s">
        <v>43</v>
      </c>
      <c r="S24" s="24" t="s">
        <v>419</v>
      </c>
      <c r="T24" s="24" t="str">
        <f t="shared" si="1"/>
        <v>Consolidado</v>
      </c>
    </row>
    <row r="25" ht="37.5" customHeight="1">
      <c r="A25" s="24" t="s">
        <v>422</v>
      </c>
      <c r="B25" s="24" t="s">
        <v>77</v>
      </c>
      <c r="C25" s="24" t="s">
        <v>234</v>
      </c>
      <c r="D25" s="24" t="s">
        <v>425</v>
      </c>
      <c r="E25" s="24" t="s">
        <v>236</v>
      </c>
      <c r="F25" s="24" t="s">
        <v>237</v>
      </c>
      <c r="G25" s="24" t="s">
        <v>74</v>
      </c>
      <c r="H25" s="24" t="s">
        <v>76</v>
      </c>
      <c r="I25" s="24">
        <v>400.0</v>
      </c>
      <c r="J25" s="24" t="s">
        <v>430</v>
      </c>
      <c r="K25" s="28">
        <v>400.0</v>
      </c>
      <c r="L25" s="29" t="s">
        <v>433</v>
      </c>
      <c r="M25" s="29" t="s">
        <v>6</v>
      </c>
      <c r="N25" s="27" t="s">
        <v>397</v>
      </c>
      <c r="O25" s="26" t="s">
        <v>416</v>
      </c>
      <c r="P25" s="26" t="s">
        <v>161</v>
      </c>
      <c r="Q25" s="29" t="s">
        <v>38</v>
      </c>
      <c r="R25" s="29" t="s">
        <v>43</v>
      </c>
      <c r="S25" s="24" t="s">
        <v>439</v>
      </c>
      <c r="T25" s="24" t="str">
        <f t="shared" si="1"/>
        <v>Consolidado</v>
      </c>
    </row>
    <row r="26" ht="37.5" customHeight="1">
      <c r="A26" s="24" t="s">
        <v>441</v>
      </c>
      <c r="B26" s="24" t="s">
        <v>77</v>
      </c>
      <c r="C26" s="24" t="s">
        <v>234</v>
      </c>
      <c r="D26" s="24" t="s">
        <v>443</v>
      </c>
      <c r="E26" s="24" t="s">
        <v>236</v>
      </c>
      <c r="F26" s="24" t="s">
        <v>237</v>
      </c>
      <c r="G26" s="24" t="s">
        <v>74</v>
      </c>
      <c r="H26" s="24" t="s">
        <v>76</v>
      </c>
      <c r="I26" s="24">
        <v>400.0</v>
      </c>
      <c r="J26" s="24" t="s">
        <v>448</v>
      </c>
      <c r="K26" s="28">
        <v>400.0</v>
      </c>
      <c r="L26" s="29" t="s">
        <v>450</v>
      </c>
      <c r="M26" s="29" t="s">
        <v>6</v>
      </c>
      <c r="N26" s="27" t="s">
        <v>397</v>
      </c>
      <c r="O26" s="26" t="s">
        <v>416</v>
      </c>
      <c r="P26" s="26" t="s">
        <v>168</v>
      </c>
      <c r="Q26" s="29" t="s">
        <v>38</v>
      </c>
      <c r="R26" s="29" t="s">
        <v>43</v>
      </c>
      <c r="S26" s="24" t="s">
        <v>455</v>
      </c>
      <c r="T26" s="24" t="str">
        <f t="shared" si="1"/>
        <v>Consolidado</v>
      </c>
    </row>
    <row r="27" ht="37.5" customHeight="1">
      <c r="A27" s="24" t="s">
        <v>459</v>
      </c>
      <c r="B27" s="24" t="s">
        <v>77</v>
      </c>
      <c r="C27" s="24" t="s">
        <v>234</v>
      </c>
      <c r="D27" s="24" t="s">
        <v>462</v>
      </c>
      <c r="E27" s="24" t="s">
        <v>236</v>
      </c>
      <c r="F27" s="24" t="s">
        <v>237</v>
      </c>
      <c r="G27" s="24" t="s">
        <v>74</v>
      </c>
      <c r="H27" s="24" t="s">
        <v>76</v>
      </c>
      <c r="I27" s="24">
        <v>400.0</v>
      </c>
      <c r="J27" s="24" t="s">
        <v>467</v>
      </c>
      <c r="K27" s="28">
        <v>400.0</v>
      </c>
      <c r="L27" s="29" t="s">
        <v>470</v>
      </c>
      <c r="M27" s="29" t="s">
        <v>6</v>
      </c>
      <c r="N27" s="27" t="s">
        <v>397</v>
      </c>
      <c r="O27" s="26" t="s">
        <v>416</v>
      </c>
      <c r="P27" s="26" t="s">
        <v>173</v>
      </c>
      <c r="Q27" s="29" t="s">
        <v>38</v>
      </c>
      <c r="R27" s="29" t="s">
        <v>43</v>
      </c>
      <c r="S27" s="24" t="s">
        <v>475</v>
      </c>
      <c r="T27" s="24" t="str">
        <f t="shared" si="1"/>
        <v>Consolidado</v>
      </c>
    </row>
    <row r="28" ht="37.5" customHeight="1">
      <c r="A28" s="24" t="s">
        <v>478</v>
      </c>
      <c r="B28" s="24" t="s">
        <v>77</v>
      </c>
      <c r="C28" s="24" t="s">
        <v>234</v>
      </c>
      <c r="D28" s="24" t="s">
        <v>480</v>
      </c>
      <c r="E28" s="24" t="s">
        <v>236</v>
      </c>
      <c r="F28" s="24" t="s">
        <v>237</v>
      </c>
      <c r="G28" s="24" t="s">
        <v>74</v>
      </c>
      <c r="H28" s="24" t="s">
        <v>76</v>
      </c>
      <c r="I28" s="24">
        <v>400.0</v>
      </c>
      <c r="J28" s="24" t="s">
        <v>483</v>
      </c>
      <c r="K28" s="28">
        <v>400.0</v>
      </c>
      <c r="L28" s="29" t="s">
        <v>484</v>
      </c>
      <c r="M28" s="29" t="s">
        <v>6</v>
      </c>
      <c r="N28" s="27" t="s">
        <v>397</v>
      </c>
      <c r="O28" s="26" t="s">
        <v>416</v>
      </c>
      <c r="P28" s="26" t="s">
        <v>179</v>
      </c>
      <c r="Q28" s="29" t="s">
        <v>38</v>
      </c>
      <c r="R28" s="29" t="s">
        <v>43</v>
      </c>
      <c r="S28" s="24" t="s">
        <v>489</v>
      </c>
      <c r="T28" s="24" t="str">
        <f t="shared" si="1"/>
        <v>Consolidado</v>
      </c>
    </row>
    <row r="29" ht="37.5" customHeight="1">
      <c r="A29" s="24" t="s">
        <v>491</v>
      </c>
      <c r="B29" s="24" t="s">
        <v>77</v>
      </c>
      <c r="C29" s="24" t="s">
        <v>234</v>
      </c>
      <c r="D29" s="24" t="s">
        <v>494</v>
      </c>
      <c r="E29" s="24" t="s">
        <v>236</v>
      </c>
      <c r="F29" s="24" t="s">
        <v>237</v>
      </c>
      <c r="G29" s="24" t="s">
        <v>74</v>
      </c>
      <c r="H29" s="24" t="s">
        <v>76</v>
      </c>
      <c r="I29" s="24">
        <v>400.0</v>
      </c>
      <c r="J29" s="24" t="s">
        <v>498</v>
      </c>
      <c r="K29" s="28">
        <v>400.0</v>
      </c>
      <c r="L29" s="29" t="s">
        <v>450</v>
      </c>
      <c r="M29" s="29" t="s">
        <v>6</v>
      </c>
      <c r="N29" s="27" t="s">
        <v>397</v>
      </c>
      <c r="O29" s="26" t="s">
        <v>416</v>
      </c>
      <c r="P29" s="26" t="s">
        <v>184</v>
      </c>
      <c r="Q29" s="29" t="s">
        <v>38</v>
      </c>
      <c r="R29" s="29" t="s">
        <v>43</v>
      </c>
      <c r="S29" s="24" t="s">
        <v>503</v>
      </c>
      <c r="T29" s="24" t="str">
        <f t="shared" si="1"/>
        <v>Consolidado</v>
      </c>
    </row>
    <row r="30" ht="37.5" customHeight="1">
      <c r="A30" s="24" t="s">
        <v>506</v>
      </c>
      <c r="B30" s="24" t="s">
        <v>77</v>
      </c>
      <c r="C30" s="24" t="s">
        <v>508</v>
      </c>
      <c r="D30" s="24" t="s">
        <v>510</v>
      </c>
      <c r="E30" s="24" t="s">
        <v>236</v>
      </c>
      <c r="F30" s="24" t="s">
        <v>237</v>
      </c>
      <c r="G30" s="24" t="s">
        <v>74</v>
      </c>
      <c r="H30" s="24" t="s">
        <v>513</v>
      </c>
      <c r="I30" s="24">
        <v>409.0</v>
      </c>
      <c r="J30" s="24" t="s">
        <v>515</v>
      </c>
      <c r="K30" s="28">
        <v>409.0</v>
      </c>
      <c r="L30" s="29" t="s">
        <v>517</v>
      </c>
      <c r="M30" s="29" t="s">
        <v>6</v>
      </c>
      <c r="N30" s="27" t="s">
        <v>397</v>
      </c>
      <c r="O30" s="26" t="s">
        <v>416</v>
      </c>
      <c r="P30" s="26" t="s">
        <v>188</v>
      </c>
      <c r="Q30" s="29" t="s">
        <v>38</v>
      </c>
      <c r="R30" s="29" t="s">
        <v>43</v>
      </c>
      <c r="S30" s="24" t="s">
        <v>522</v>
      </c>
      <c r="T30" s="24" t="str">
        <f t="shared" si="1"/>
        <v>Consolidado</v>
      </c>
    </row>
    <row r="31" ht="37.5" customHeight="1">
      <c r="A31" s="24" t="s">
        <v>524</v>
      </c>
      <c r="B31" s="24" t="s">
        <v>77</v>
      </c>
      <c r="C31" s="24" t="s">
        <v>508</v>
      </c>
      <c r="D31" s="24" t="s">
        <v>526</v>
      </c>
      <c r="E31" s="24" t="s">
        <v>236</v>
      </c>
      <c r="F31" s="24" t="s">
        <v>237</v>
      </c>
      <c r="G31" s="24" t="s">
        <v>74</v>
      </c>
      <c r="H31" s="24" t="s">
        <v>513</v>
      </c>
      <c r="I31" s="24">
        <v>409.0</v>
      </c>
      <c r="J31" s="24" t="s">
        <v>531</v>
      </c>
      <c r="K31" s="28">
        <v>409.0</v>
      </c>
      <c r="L31" s="29" t="s">
        <v>532</v>
      </c>
      <c r="M31" s="29" t="s">
        <v>15</v>
      </c>
      <c r="N31" s="27" t="s">
        <v>397</v>
      </c>
      <c r="O31" s="26" t="s">
        <v>416</v>
      </c>
      <c r="P31" s="26" t="s">
        <v>193</v>
      </c>
      <c r="Q31" s="29" t="s">
        <v>38</v>
      </c>
      <c r="R31" s="29" t="s">
        <v>198</v>
      </c>
      <c r="S31" s="24" t="s">
        <v>538</v>
      </c>
      <c r="T31" s="24" t="str">
        <f t="shared" si="1"/>
        <v>Corregir y repetir</v>
      </c>
    </row>
    <row r="32" ht="37.5" customHeight="1">
      <c r="A32" s="24" t="s">
        <v>541</v>
      </c>
      <c r="B32" s="24" t="s">
        <v>77</v>
      </c>
      <c r="C32" s="24" t="s">
        <v>508</v>
      </c>
      <c r="D32" s="24" t="s">
        <v>543</v>
      </c>
      <c r="E32" s="24" t="s">
        <v>236</v>
      </c>
      <c r="F32" s="24" t="s">
        <v>237</v>
      </c>
      <c r="G32" s="24" t="s">
        <v>74</v>
      </c>
      <c r="H32" s="24" t="s">
        <v>513</v>
      </c>
      <c r="I32" s="24">
        <v>409.0</v>
      </c>
      <c r="J32" s="24" t="s">
        <v>548</v>
      </c>
      <c r="K32" s="28">
        <v>409.0</v>
      </c>
      <c r="L32" s="29" t="s">
        <v>532</v>
      </c>
      <c r="M32" s="29" t="s">
        <v>15</v>
      </c>
      <c r="N32" s="27" t="s">
        <v>397</v>
      </c>
      <c r="O32" s="26" t="s">
        <v>416</v>
      </c>
      <c r="P32" s="26" t="s">
        <v>200</v>
      </c>
      <c r="Q32" s="29" t="s">
        <v>38</v>
      </c>
      <c r="R32" s="29" t="s">
        <v>198</v>
      </c>
      <c r="S32" s="24" t="s">
        <v>558</v>
      </c>
      <c r="T32" s="24" t="str">
        <f t="shared" si="1"/>
        <v>Corregir y repetir</v>
      </c>
    </row>
    <row r="33" ht="37.5" customHeight="1">
      <c r="A33" s="24" t="s">
        <v>561</v>
      </c>
      <c r="B33" s="24" t="s">
        <v>89</v>
      </c>
      <c r="C33" s="24" t="s">
        <v>563</v>
      </c>
      <c r="D33" s="24" t="s">
        <v>564</v>
      </c>
      <c r="E33" s="24" t="s">
        <v>236</v>
      </c>
      <c r="F33" s="24" t="s">
        <v>566</v>
      </c>
      <c r="G33" s="24" t="s">
        <v>74</v>
      </c>
      <c r="H33" s="24" t="s">
        <v>568</v>
      </c>
      <c r="I33" s="24">
        <v>200.0</v>
      </c>
      <c r="J33" s="24" t="s">
        <v>569</v>
      </c>
      <c r="K33" s="28">
        <v>200.0</v>
      </c>
      <c r="L33" s="29" t="s">
        <v>572</v>
      </c>
      <c r="M33" s="29" t="s">
        <v>6</v>
      </c>
      <c r="N33" s="27" t="s">
        <v>397</v>
      </c>
      <c r="O33" s="29" t="s">
        <v>399</v>
      </c>
      <c r="P33" s="26" t="s">
        <v>205</v>
      </c>
      <c r="Q33" s="29" t="s">
        <v>38</v>
      </c>
      <c r="R33" s="29" t="s">
        <v>43</v>
      </c>
      <c r="S33" s="24" t="s">
        <v>579</v>
      </c>
      <c r="T33" s="24" t="str">
        <f t="shared" si="1"/>
        <v>Consolidado</v>
      </c>
    </row>
    <row r="34" ht="37.5" customHeight="1">
      <c r="A34" s="24" t="s">
        <v>584</v>
      </c>
      <c r="B34" s="24" t="s">
        <v>89</v>
      </c>
      <c r="C34" s="24" t="s">
        <v>563</v>
      </c>
      <c r="D34" s="24" t="s">
        <v>587</v>
      </c>
      <c r="E34" s="24" t="s">
        <v>71</v>
      </c>
      <c r="F34" s="24" t="s">
        <v>589</v>
      </c>
      <c r="G34" s="24" t="s">
        <v>591</v>
      </c>
      <c r="H34" s="24" t="s">
        <v>592</v>
      </c>
      <c r="I34" s="24">
        <v>200.0</v>
      </c>
      <c r="J34" s="24" t="s">
        <v>594</v>
      </c>
      <c r="K34" s="28">
        <v>200.0</v>
      </c>
      <c r="L34" s="29" t="s">
        <v>596</v>
      </c>
      <c r="M34" s="29" t="s">
        <v>6</v>
      </c>
      <c r="N34" s="27" t="s">
        <v>397</v>
      </c>
      <c r="O34" s="26" t="s">
        <v>416</v>
      </c>
      <c r="P34" s="26" t="s">
        <v>211</v>
      </c>
      <c r="Q34" s="29" t="s">
        <v>38</v>
      </c>
      <c r="R34" s="29" t="s">
        <v>43</v>
      </c>
      <c r="S34" s="24" t="s">
        <v>603</v>
      </c>
      <c r="T34" s="24" t="str">
        <f t="shared" si="1"/>
        <v>Consolidado</v>
      </c>
    </row>
    <row r="35" ht="37.5" customHeight="1">
      <c r="A35" s="24" t="s">
        <v>604</v>
      </c>
      <c r="B35" s="24" t="s">
        <v>89</v>
      </c>
      <c r="C35" s="24" t="s">
        <v>563</v>
      </c>
      <c r="D35" s="24" t="s">
        <v>607</v>
      </c>
      <c r="E35" s="24" t="s">
        <v>236</v>
      </c>
      <c r="F35" s="24" t="s">
        <v>566</v>
      </c>
      <c r="G35" s="24" t="s">
        <v>74</v>
      </c>
      <c r="H35" s="24" t="s">
        <v>568</v>
      </c>
      <c r="I35" s="24">
        <v>400.0</v>
      </c>
      <c r="J35" s="24" t="s">
        <v>612</v>
      </c>
      <c r="K35" s="28">
        <v>400.0</v>
      </c>
      <c r="L35" s="29" t="s">
        <v>614</v>
      </c>
      <c r="M35" s="29" t="s">
        <v>6</v>
      </c>
      <c r="N35" s="27" t="s">
        <v>397</v>
      </c>
      <c r="O35" s="26" t="s">
        <v>416</v>
      </c>
      <c r="P35" s="26" t="s">
        <v>217</v>
      </c>
      <c r="Q35" s="29" t="s">
        <v>38</v>
      </c>
      <c r="R35" s="29" t="s">
        <v>43</v>
      </c>
      <c r="S35" s="24" t="s">
        <v>620</v>
      </c>
      <c r="T35" s="24" t="str">
        <f t="shared" si="1"/>
        <v>Consolidado</v>
      </c>
    </row>
    <row r="36" ht="37.5" customHeight="1">
      <c r="A36" s="24" t="s">
        <v>622</v>
      </c>
      <c r="B36" s="24" t="s">
        <v>89</v>
      </c>
      <c r="C36" s="24" t="s">
        <v>563</v>
      </c>
      <c r="D36" s="24" t="s">
        <v>625</v>
      </c>
      <c r="E36" s="24" t="s">
        <v>236</v>
      </c>
      <c r="F36" s="24" t="s">
        <v>566</v>
      </c>
      <c r="G36" s="24" t="s">
        <v>74</v>
      </c>
      <c r="H36" s="24" t="s">
        <v>568</v>
      </c>
      <c r="I36" s="24">
        <v>401.0</v>
      </c>
      <c r="J36" s="24" t="s">
        <v>628</v>
      </c>
      <c r="K36" s="28">
        <v>401.0</v>
      </c>
      <c r="L36" s="29" t="s">
        <v>629</v>
      </c>
      <c r="M36" s="29" t="s">
        <v>6</v>
      </c>
      <c r="N36" s="27" t="s">
        <v>630</v>
      </c>
      <c r="O36" s="26" t="s">
        <v>416</v>
      </c>
      <c r="P36" s="26" t="s">
        <v>222</v>
      </c>
      <c r="Q36" s="29" t="s">
        <v>38</v>
      </c>
      <c r="R36" s="29" t="s">
        <v>43</v>
      </c>
      <c r="S36" s="24" t="s">
        <v>631</v>
      </c>
      <c r="T36" s="24" t="str">
        <f t="shared" si="1"/>
        <v>Consolidado</v>
      </c>
    </row>
    <row r="37" ht="37.5" customHeight="1">
      <c r="A37" s="24" t="s">
        <v>632</v>
      </c>
      <c r="B37" s="24" t="s">
        <v>89</v>
      </c>
      <c r="C37" s="24" t="s">
        <v>633</v>
      </c>
      <c r="D37" s="24" t="s">
        <v>634</v>
      </c>
      <c r="E37" s="24" t="s">
        <v>71</v>
      </c>
      <c r="F37" s="24" t="s">
        <v>589</v>
      </c>
      <c r="G37" s="24" t="s">
        <v>635</v>
      </c>
      <c r="H37" s="24" t="s">
        <v>76</v>
      </c>
      <c r="I37" s="24">
        <v>401.0</v>
      </c>
      <c r="J37" s="24" t="s">
        <v>636</v>
      </c>
      <c r="K37" s="28">
        <v>401.0</v>
      </c>
      <c r="L37" s="29" t="s">
        <v>637</v>
      </c>
      <c r="M37" s="29" t="s">
        <v>6</v>
      </c>
      <c r="N37" s="27" t="s">
        <v>630</v>
      </c>
      <c r="O37" s="26" t="s">
        <v>416</v>
      </c>
      <c r="P37" s="26" t="s">
        <v>226</v>
      </c>
      <c r="Q37" s="29" t="s">
        <v>38</v>
      </c>
      <c r="R37" s="29" t="s">
        <v>43</v>
      </c>
      <c r="S37" s="24" t="s">
        <v>638</v>
      </c>
      <c r="T37" s="24" t="str">
        <f t="shared" si="1"/>
        <v>Consolidado</v>
      </c>
    </row>
    <row r="38" ht="37.5" customHeight="1">
      <c r="A38" s="24" t="s">
        <v>639</v>
      </c>
      <c r="B38" s="24" t="s">
        <v>89</v>
      </c>
      <c r="C38" s="24" t="s">
        <v>633</v>
      </c>
      <c r="D38" s="24" t="s">
        <v>640</v>
      </c>
      <c r="E38" s="24" t="s">
        <v>71</v>
      </c>
      <c r="F38" s="24" t="s">
        <v>589</v>
      </c>
      <c r="G38" s="24" t="s">
        <v>641</v>
      </c>
      <c r="H38" s="24" t="s">
        <v>642</v>
      </c>
      <c r="I38" s="24">
        <v>401.0</v>
      </c>
      <c r="J38" s="24" t="s">
        <v>643</v>
      </c>
      <c r="K38" s="28">
        <v>401.0</v>
      </c>
      <c r="L38" s="29" t="s">
        <v>644</v>
      </c>
      <c r="M38" s="29" t="s">
        <v>6</v>
      </c>
      <c r="N38" s="27" t="s">
        <v>630</v>
      </c>
      <c r="O38" s="26" t="s">
        <v>416</v>
      </c>
      <c r="P38" s="26" t="s">
        <v>230</v>
      </c>
      <c r="Q38" s="29" t="s">
        <v>38</v>
      </c>
      <c r="R38" s="29" t="s">
        <v>43</v>
      </c>
      <c r="S38" s="24" t="s">
        <v>645</v>
      </c>
      <c r="T38" s="24" t="str">
        <f t="shared" si="1"/>
        <v>Consolidado</v>
      </c>
    </row>
    <row r="39" ht="51.75" customHeight="1">
      <c r="A39" s="24" t="s">
        <v>646</v>
      </c>
      <c r="B39" s="24" t="s">
        <v>89</v>
      </c>
      <c r="C39" s="24" t="s">
        <v>633</v>
      </c>
      <c r="D39" s="24" t="s">
        <v>647</v>
      </c>
      <c r="E39" s="24" t="s">
        <v>71</v>
      </c>
      <c r="F39" s="24" t="s">
        <v>589</v>
      </c>
      <c r="G39" s="24" t="s">
        <v>648</v>
      </c>
      <c r="H39" s="24" t="s">
        <v>649</v>
      </c>
      <c r="I39" s="24">
        <v>401.0</v>
      </c>
      <c r="J39" s="24" t="s">
        <v>650</v>
      </c>
      <c r="K39" s="28">
        <v>401.0</v>
      </c>
      <c r="L39" s="29" t="s">
        <v>651</v>
      </c>
      <c r="M39" s="29" t="s">
        <v>6</v>
      </c>
      <c r="N39" s="27" t="s">
        <v>652</v>
      </c>
      <c r="O39" s="26" t="s">
        <v>416</v>
      </c>
      <c r="P39" s="26" t="s">
        <v>238</v>
      </c>
      <c r="Q39" s="29" t="s">
        <v>38</v>
      </c>
      <c r="R39" s="29" t="s">
        <v>43</v>
      </c>
      <c r="S39" s="24" t="s">
        <v>653</v>
      </c>
      <c r="T39" s="24" t="str">
        <f t="shared" si="1"/>
        <v>Consolidado</v>
      </c>
    </row>
    <row r="40" ht="37.5" customHeight="1">
      <c r="A40" s="24" t="s">
        <v>654</v>
      </c>
      <c r="B40" s="24" t="s">
        <v>89</v>
      </c>
      <c r="C40" s="24" t="s">
        <v>633</v>
      </c>
      <c r="D40" s="24" t="s">
        <v>655</v>
      </c>
      <c r="E40" s="24" t="s">
        <v>71</v>
      </c>
      <c r="F40" s="24" t="s">
        <v>656</v>
      </c>
      <c r="G40" s="24" t="s">
        <v>591</v>
      </c>
      <c r="H40" s="24" t="s">
        <v>592</v>
      </c>
      <c r="I40" s="24">
        <v>403.0</v>
      </c>
      <c r="J40" s="24" t="s">
        <v>657</v>
      </c>
      <c r="K40" s="28">
        <v>403.0</v>
      </c>
      <c r="L40" s="29" t="s">
        <v>658</v>
      </c>
      <c r="M40" s="29" t="s">
        <v>6</v>
      </c>
      <c r="N40" s="27" t="s">
        <v>630</v>
      </c>
      <c r="O40" s="26" t="s">
        <v>416</v>
      </c>
      <c r="P40" s="26" t="s">
        <v>243</v>
      </c>
      <c r="Q40" s="29" t="s">
        <v>38</v>
      </c>
      <c r="R40" s="29" t="s">
        <v>43</v>
      </c>
      <c r="S40" s="24" t="s">
        <v>659</v>
      </c>
      <c r="T40" s="24" t="str">
        <f t="shared" si="1"/>
        <v>Consolidado</v>
      </c>
    </row>
    <row r="41" ht="37.5" customHeight="1">
      <c r="A41" s="24" t="s">
        <v>660</v>
      </c>
      <c r="B41" s="24" t="s">
        <v>89</v>
      </c>
      <c r="C41" s="24" t="s">
        <v>661</v>
      </c>
      <c r="D41" s="24" t="s">
        <v>662</v>
      </c>
      <c r="E41" s="24" t="s">
        <v>236</v>
      </c>
      <c r="F41" s="24" t="s">
        <v>237</v>
      </c>
      <c r="G41" s="24" t="s">
        <v>74</v>
      </c>
      <c r="H41" s="24" t="s">
        <v>346</v>
      </c>
      <c r="I41" s="24">
        <v>201.0</v>
      </c>
      <c r="J41" s="24" t="s">
        <v>663</v>
      </c>
      <c r="K41" s="28">
        <v>201.0</v>
      </c>
      <c r="L41" s="29" t="s">
        <v>664</v>
      </c>
      <c r="M41" s="29" t="s">
        <v>6</v>
      </c>
      <c r="N41" s="27" t="s">
        <v>630</v>
      </c>
      <c r="O41" s="26" t="s">
        <v>416</v>
      </c>
      <c r="P41" s="26" t="s">
        <v>246</v>
      </c>
      <c r="Q41" s="29" t="s">
        <v>38</v>
      </c>
      <c r="R41" s="29" t="s">
        <v>250</v>
      </c>
      <c r="S41" s="24" t="s">
        <v>665</v>
      </c>
      <c r="T41" s="24" t="str">
        <f t="shared" si="1"/>
        <v>Consolidado</v>
      </c>
    </row>
    <row r="42" ht="37.5" customHeight="1">
      <c r="A42" s="24" t="s">
        <v>666</v>
      </c>
      <c r="B42" s="24" t="s">
        <v>89</v>
      </c>
      <c r="C42" s="24" t="s">
        <v>661</v>
      </c>
      <c r="D42" s="24" t="s">
        <v>667</v>
      </c>
      <c r="E42" s="24" t="s">
        <v>236</v>
      </c>
      <c r="F42" s="24" t="s">
        <v>566</v>
      </c>
      <c r="G42" s="24" t="s">
        <v>74</v>
      </c>
      <c r="H42" s="24" t="s">
        <v>568</v>
      </c>
      <c r="I42" s="24">
        <v>200.0</v>
      </c>
      <c r="J42" s="24" t="s">
        <v>668</v>
      </c>
      <c r="K42" s="28">
        <v>200.0</v>
      </c>
      <c r="L42" s="29" t="s">
        <v>669</v>
      </c>
      <c r="M42" s="29" t="s">
        <v>6</v>
      </c>
      <c r="N42" s="27" t="s">
        <v>670</v>
      </c>
      <c r="O42" s="26" t="s">
        <v>416</v>
      </c>
      <c r="P42" s="26" t="s">
        <v>252</v>
      </c>
      <c r="Q42" s="29" t="s">
        <v>38</v>
      </c>
      <c r="R42" s="29" t="s">
        <v>250</v>
      </c>
      <c r="S42" s="24" t="s">
        <v>671</v>
      </c>
      <c r="T42" s="24" t="str">
        <f t="shared" si="1"/>
        <v>Consolidado</v>
      </c>
    </row>
    <row r="43" ht="37.5" customHeight="1">
      <c r="A43" s="24" t="s">
        <v>672</v>
      </c>
      <c r="B43" s="24" t="s">
        <v>89</v>
      </c>
      <c r="C43" s="24" t="s">
        <v>661</v>
      </c>
      <c r="D43" s="24" t="s">
        <v>673</v>
      </c>
      <c r="E43" s="24" t="s">
        <v>236</v>
      </c>
      <c r="F43" s="24" t="s">
        <v>566</v>
      </c>
      <c r="G43" s="24" t="s">
        <v>74</v>
      </c>
      <c r="H43" s="24" t="s">
        <v>674</v>
      </c>
      <c r="I43" s="24">
        <v>401.0</v>
      </c>
      <c r="J43" s="24" t="s">
        <v>675</v>
      </c>
      <c r="K43" s="28">
        <v>401.0</v>
      </c>
      <c r="L43" s="29" t="s">
        <v>676</v>
      </c>
      <c r="M43" s="29" t="s">
        <v>6</v>
      </c>
      <c r="N43" s="27" t="s">
        <v>670</v>
      </c>
      <c r="O43" s="26" t="s">
        <v>416</v>
      </c>
      <c r="P43" s="26" t="s">
        <v>256</v>
      </c>
      <c r="Q43" s="29" t="s">
        <v>38</v>
      </c>
      <c r="R43" s="29" t="s">
        <v>250</v>
      </c>
      <c r="S43" s="24" t="s">
        <v>677</v>
      </c>
      <c r="T43" s="24" t="str">
        <f t="shared" si="1"/>
        <v>Consolidado</v>
      </c>
    </row>
    <row r="44" ht="37.5" customHeight="1">
      <c r="A44" s="24" t="s">
        <v>678</v>
      </c>
      <c r="B44" s="24" t="s">
        <v>89</v>
      </c>
      <c r="C44" s="24" t="s">
        <v>661</v>
      </c>
      <c r="D44" s="24" t="s">
        <v>679</v>
      </c>
      <c r="E44" s="24" t="s">
        <v>236</v>
      </c>
      <c r="F44" s="24" t="s">
        <v>566</v>
      </c>
      <c r="G44" s="24" t="s">
        <v>74</v>
      </c>
      <c r="H44" s="24" t="s">
        <v>680</v>
      </c>
      <c r="I44" s="24">
        <v>401.0</v>
      </c>
      <c r="J44" s="24" t="s">
        <v>681</v>
      </c>
      <c r="K44" s="28">
        <v>401.0</v>
      </c>
      <c r="L44" s="29" t="s">
        <v>682</v>
      </c>
      <c r="M44" s="29" t="s">
        <v>6</v>
      </c>
      <c r="N44" s="27" t="s">
        <v>683</v>
      </c>
      <c r="O44" s="26" t="s">
        <v>416</v>
      </c>
      <c r="P44" s="26" t="s">
        <v>261</v>
      </c>
      <c r="Q44" s="29" t="s">
        <v>38</v>
      </c>
      <c r="R44" s="29" t="s">
        <v>250</v>
      </c>
      <c r="S44" s="24" t="s">
        <v>684</v>
      </c>
      <c r="T44" s="24" t="str">
        <f t="shared" si="1"/>
        <v>Consolidado</v>
      </c>
    </row>
    <row r="45" ht="37.5" customHeight="1">
      <c r="A45" s="24" t="s">
        <v>685</v>
      </c>
      <c r="B45" s="24" t="s">
        <v>89</v>
      </c>
      <c r="C45" s="24" t="s">
        <v>661</v>
      </c>
      <c r="D45" s="24" t="s">
        <v>686</v>
      </c>
      <c r="E45" s="24" t="s">
        <v>71</v>
      </c>
      <c r="F45" s="24" t="s">
        <v>589</v>
      </c>
      <c r="G45" s="24" t="s">
        <v>687</v>
      </c>
      <c r="H45" s="24" t="s">
        <v>680</v>
      </c>
      <c r="I45" s="24">
        <v>401.0</v>
      </c>
      <c r="J45" s="24" t="s">
        <v>688</v>
      </c>
      <c r="K45" s="28">
        <v>401.0</v>
      </c>
      <c r="L45" s="29" t="s">
        <v>689</v>
      </c>
      <c r="M45" s="29" t="s">
        <v>6</v>
      </c>
      <c r="N45" s="27" t="s">
        <v>683</v>
      </c>
      <c r="O45" s="26" t="s">
        <v>416</v>
      </c>
      <c r="P45" s="26" t="s">
        <v>265</v>
      </c>
      <c r="Q45" s="29" t="s">
        <v>38</v>
      </c>
      <c r="R45" s="29" t="s">
        <v>250</v>
      </c>
      <c r="S45" s="24" t="s">
        <v>690</v>
      </c>
      <c r="T45" s="24" t="str">
        <f t="shared" si="1"/>
        <v>Consolidado</v>
      </c>
    </row>
    <row r="46" ht="37.5" customHeight="1">
      <c r="A46" s="24" t="s">
        <v>691</v>
      </c>
      <c r="B46" s="24" t="s">
        <v>89</v>
      </c>
      <c r="C46" s="24" t="s">
        <v>692</v>
      </c>
      <c r="D46" s="24" t="s">
        <v>693</v>
      </c>
      <c r="E46" s="24" t="s">
        <v>236</v>
      </c>
      <c r="F46" s="24" t="s">
        <v>566</v>
      </c>
      <c r="G46" s="24" t="s">
        <v>74</v>
      </c>
      <c r="H46" s="24" t="s">
        <v>568</v>
      </c>
      <c r="I46" s="24">
        <v>200.0</v>
      </c>
      <c r="J46" s="24" t="s">
        <v>694</v>
      </c>
      <c r="K46" s="28">
        <v>200.0</v>
      </c>
      <c r="L46" s="29" t="s">
        <v>695</v>
      </c>
      <c r="M46" s="29" t="s">
        <v>6</v>
      </c>
      <c r="N46" s="27" t="s">
        <v>683</v>
      </c>
      <c r="O46" s="26" t="s">
        <v>416</v>
      </c>
      <c r="P46" s="26" t="s">
        <v>271</v>
      </c>
      <c r="Q46" s="29" t="s">
        <v>38</v>
      </c>
      <c r="R46" s="29" t="s">
        <v>43</v>
      </c>
      <c r="S46" s="24" t="s">
        <v>696</v>
      </c>
      <c r="T46" s="24" t="str">
        <f t="shared" si="1"/>
        <v>Consolidado</v>
      </c>
    </row>
    <row r="47" ht="37.5" customHeight="1">
      <c r="A47" s="24" t="s">
        <v>697</v>
      </c>
      <c r="B47" s="24" t="s">
        <v>89</v>
      </c>
      <c r="C47" s="24" t="s">
        <v>692</v>
      </c>
      <c r="D47" s="24" t="s">
        <v>698</v>
      </c>
      <c r="E47" s="24" t="s">
        <v>71</v>
      </c>
      <c r="F47" s="24" t="s">
        <v>589</v>
      </c>
      <c r="G47" s="24" t="s">
        <v>699</v>
      </c>
      <c r="H47" s="24" t="s">
        <v>700</v>
      </c>
      <c r="I47" s="24">
        <v>200.0</v>
      </c>
      <c r="J47" s="24" t="s">
        <v>701</v>
      </c>
      <c r="K47" s="28">
        <v>200.0</v>
      </c>
      <c r="L47" s="29" t="s">
        <v>702</v>
      </c>
      <c r="M47" s="29" t="s">
        <v>6</v>
      </c>
      <c r="N47" s="27" t="s">
        <v>683</v>
      </c>
      <c r="O47" s="26" t="s">
        <v>416</v>
      </c>
      <c r="P47" s="26" t="s">
        <v>276</v>
      </c>
      <c r="Q47" s="29" t="s">
        <v>38</v>
      </c>
      <c r="R47" s="29" t="s">
        <v>43</v>
      </c>
      <c r="S47" s="24" t="s">
        <v>703</v>
      </c>
      <c r="T47" s="24" t="str">
        <f t="shared" si="1"/>
        <v>Consolidado</v>
      </c>
    </row>
    <row r="48" ht="37.5" customHeight="1">
      <c r="A48" s="24" t="s">
        <v>704</v>
      </c>
      <c r="B48" s="24" t="s">
        <v>89</v>
      </c>
      <c r="C48" s="24" t="s">
        <v>692</v>
      </c>
      <c r="D48" s="24" t="s">
        <v>705</v>
      </c>
      <c r="E48" s="24" t="s">
        <v>236</v>
      </c>
      <c r="F48" s="24" t="s">
        <v>566</v>
      </c>
      <c r="G48" s="24" t="s">
        <v>74</v>
      </c>
      <c r="H48" s="24" t="s">
        <v>568</v>
      </c>
      <c r="I48" s="24">
        <v>200.0</v>
      </c>
      <c r="J48" s="24" t="s">
        <v>694</v>
      </c>
      <c r="K48" s="28">
        <v>200.0</v>
      </c>
      <c r="L48" s="29" t="s">
        <v>706</v>
      </c>
      <c r="M48" s="29" t="s">
        <v>6</v>
      </c>
      <c r="N48" s="27" t="s">
        <v>683</v>
      </c>
      <c r="O48" s="26" t="s">
        <v>416</v>
      </c>
      <c r="P48" s="26" t="s">
        <v>281</v>
      </c>
      <c r="Q48" s="29" t="s">
        <v>38</v>
      </c>
      <c r="R48" s="29" t="s">
        <v>43</v>
      </c>
      <c r="S48" s="24" t="s">
        <v>707</v>
      </c>
      <c r="T48" s="24" t="str">
        <f t="shared" si="1"/>
        <v>Consolidado</v>
      </c>
    </row>
    <row r="49" ht="37.5" customHeight="1">
      <c r="A49" s="24" t="s">
        <v>708</v>
      </c>
      <c r="B49" s="24" t="s">
        <v>89</v>
      </c>
      <c r="C49" s="24" t="s">
        <v>692</v>
      </c>
      <c r="D49" s="24" t="s">
        <v>709</v>
      </c>
      <c r="E49" s="24" t="s">
        <v>71</v>
      </c>
      <c r="F49" s="24" t="s">
        <v>589</v>
      </c>
      <c r="G49" s="24" t="s">
        <v>710</v>
      </c>
      <c r="H49" s="24" t="s">
        <v>711</v>
      </c>
      <c r="I49" s="24">
        <v>200.0</v>
      </c>
      <c r="J49" s="24" t="s">
        <v>701</v>
      </c>
      <c r="K49" s="28">
        <v>200.0</v>
      </c>
      <c r="L49" s="29" t="s">
        <v>702</v>
      </c>
      <c r="M49" s="29" t="s">
        <v>6</v>
      </c>
      <c r="N49" s="27" t="s">
        <v>712</v>
      </c>
      <c r="O49" s="26" t="s">
        <v>416</v>
      </c>
      <c r="P49" s="26" t="s">
        <v>286</v>
      </c>
      <c r="Q49" s="29" t="s">
        <v>38</v>
      </c>
      <c r="R49" s="29" t="s">
        <v>43</v>
      </c>
      <c r="S49" s="24" t="s">
        <v>713</v>
      </c>
      <c r="T49" s="24" t="str">
        <f t="shared" si="1"/>
        <v>Consolidado</v>
      </c>
    </row>
    <row r="50" ht="37.5" customHeight="1">
      <c r="A50" s="24" t="s">
        <v>714</v>
      </c>
      <c r="B50" s="24" t="s">
        <v>89</v>
      </c>
      <c r="C50" s="24" t="s">
        <v>692</v>
      </c>
      <c r="D50" s="24" t="s">
        <v>715</v>
      </c>
      <c r="E50" s="24" t="s">
        <v>236</v>
      </c>
      <c r="F50" s="24" t="s">
        <v>566</v>
      </c>
      <c r="G50" s="24" t="s">
        <v>74</v>
      </c>
      <c r="H50" s="24" t="s">
        <v>568</v>
      </c>
      <c r="I50" s="24">
        <v>200.0</v>
      </c>
      <c r="J50" s="24" t="s">
        <v>694</v>
      </c>
      <c r="K50" s="28">
        <v>200.0</v>
      </c>
      <c r="L50" s="29" t="s">
        <v>716</v>
      </c>
      <c r="M50" s="29" t="s">
        <v>6</v>
      </c>
      <c r="N50" s="27" t="s">
        <v>712</v>
      </c>
      <c r="O50" s="26" t="s">
        <v>416</v>
      </c>
      <c r="P50" s="26" t="s">
        <v>290</v>
      </c>
      <c r="Q50" s="29" t="s">
        <v>38</v>
      </c>
      <c r="R50" s="29" t="s">
        <v>43</v>
      </c>
      <c r="S50" s="24" t="s">
        <v>717</v>
      </c>
      <c r="T50" s="24" t="str">
        <f t="shared" si="1"/>
        <v>Consolidado</v>
      </c>
    </row>
    <row r="51" ht="37.5" customHeight="1">
      <c r="A51" s="24" t="s">
        <v>718</v>
      </c>
      <c r="B51" s="24" t="s">
        <v>89</v>
      </c>
      <c r="C51" s="24" t="s">
        <v>692</v>
      </c>
      <c r="D51" s="24" t="s">
        <v>719</v>
      </c>
      <c r="E51" s="24" t="s">
        <v>71</v>
      </c>
      <c r="F51" s="24" t="s">
        <v>589</v>
      </c>
      <c r="G51" s="24" t="s">
        <v>720</v>
      </c>
      <c r="H51" s="24" t="s">
        <v>721</v>
      </c>
      <c r="I51" s="24">
        <v>200.0</v>
      </c>
      <c r="J51" s="24" t="s">
        <v>701</v>
      </c>
      <c r="K51" s="28">
        <v>200.0</v>
      </c>
      <c r="L51" s="29" t="s">
        <v>722</v>
      </c>
      <c r="M51" s="29" t="s">
        <v>6</v>
      </c>
      <c r="N51" s="27" t="s">
        <v>712</v>
      </c>
      <c r="O51" s="26" t="s">
        <v>416</v>
      </c>
      <c r="P51" s="26" t="s">
        <v>294</v>
      </c>
      <c r="Q51" s="29" t="s">
        <v>38</v>
      </c>
      <c r="R51" s="29" t="s">
        <v>43</v>
      </c>
      <c r="S51" s="24" t="s">
        <v>723</v>
      </c>
      <c r="T51" s="24" t="str">
        <f t="shared" si="1"/>
        <v>Consolidado</v>
      </c>
    </row>
    <row r="52" ht="51.75" customHeight="1">
      <c r="A52" s="24" t="s">
        <v>724</v>
      </c>
      <c r="B52" s="24" t="s">
        <v>98</v>
      </c>
      <c r="C52" s="24" t="s">
        <v>725</v>
      </c>
      <c r="D52" s="24" t="s">
        <v>726</v>
      </c>
      <c r="E52" s="24" t="s">
        <v>236</v>
      </c>
      <c r="F52" s="24" t="s">
        <v>237</v>
      </c>
      <c r="G52" s="24" t="s">
        <v>74</v>
      </c>
      <c r="H52" s="24" t="s">
        <v>727</v>
      </c>
      <c r="I52" s="24" t="s">
        <v>728</v>
      </c>
      <c r="J52" s="24" t="s">
        <v>729</v>
      </c>
      <c r="K52" s="28">
        <v>409.0</v>
      </c>
      <c r="L52" s="29" t="s">
        <v>730</v>
      </c>
      <c r="M52" s="29" t="s">
        <v>6</v>
      </c>
      <c r="N52" s="27" t="s">
        <v>712</v>
      </c>
      <c r="O52" s="26" t="s">
        <v>416</v>
      </c>
      <c r="P52" s="26" t="s">
        <v>298</v>
      </c>
      <c r="Q52" s="29" t="s">
        <v>38</v>
      </c>
      <c r="R52" s="29" t="s">
        <v>43</v>
      </c>
      <c r="S52" s="24" t="s">
        <v>731</v>
      </c>
      <c r="T52" s="24" t="str">
        <f t="shared" si="1"/>
        <v>Consolidado</v>
      </c>
    </row>
    <row r="53" ht="37.5" customHeight="1">
      <c r="A53" s="24" t="s">
        <v>732</v>
      </c>
      <c r="B53" s="24" t="s">
        <v>98</v>
      </c>
      <c r="C53" s="24" t="s">
        <v>725</v>
      </c>
      <c r="D53" s="24" t="s">
        <v>733</v>
      </c>
      <c r="E53" s="24" t="s">
        <v>236</v>
      </c>
      <c r="F53" s="24" t="s">
        <v>566</v>
      </c>
      <c r="G53" s="24" t="s">
        <v>74</v>
      </c>
      <c r="H53" s="24" t="s">
        <v>568</v>
      </c>
      <c r="I53" s="24">
        <v>200.0</v>
      </c>
      <c r="J53" s="24" t="s">
        <v>734</v>
      </c>
      <c r="K53" s="28">
        <v>200.0</v>
      </c>
      <c r="L53" s="29" t="s">
        <v>735</v>
      </c>
      <c r="M53" s="29" t="s">
        <v>6</v>
      </c>
      <c r="N53" s="27" t="s">
        <v>712</v>
      </c>
      <c r="O53" s="29" t="s">
        <v>399</v>
      </c>
      <c r="P53" s="26" t="s">
        <v>304</v>
      </c>
      <c r="Q53" s="29" t="s">
        <v>38</v>
      </c>
      <c r="R53" s="29" t="s">
        <v>43</v>
      </c>
      <c r="S53" s="24" t="s">
        <v>736</v>
      </c>
      <c r="T53" s="24" t="str">
        <f t="shared" si="1"/>
        <v>Consolidado</v>
      </c>
    </row>
    <row r="54" ht="37.5" customHeight="1">
      <c r="A54" s="24" t="s">
        <v>737</v>
      </c>
      <c r="B54" s="24" t="s">
        <v>98</v>
      </c>
      <c r="C54" s="24" t="s">
        <v>725</v>
      </c>
      <c r="D54" s="24" t="s">
        <v>738</v>
      </c>
      <c r="E54" s="24" t="s">
        <v>71</v>
      </c>
      <c r="F54" s="24" t="s">
        <v>589</v>
      </c>
      <c r="G54" s="24" t="s">
        <v>739</v>
      </c>
      <c r="H54" s="24" t="s">
        <v>740</v>
      </c>
      <c r="I54" s="24">
        <v>200.0</v>
      </c>
      <c r="J54" s="24" t="s">
        <v>741</v>
      </c>
      <c r="K54" s="28">
        <v>200.0</v>
      </c>
      <c r="L54" s="29" t="s">
        <v>742</v>
      </c>
      <c r="M54" s="29" t="s">
        <v>6</v>
      </c>
      <c r="N54" s="27" t="s">
        <v>712</v>
      </c>
      <c r="O54" s="29" t="s">
        <v>399</v>
      </c>
      <c r="P54" s="26" t="s">
        <v>309</v>
      </c>
      <c r="Q54" s="29" t="s">
        <v>38</v>
      </c>
      <c r="R54" s="29" t="s">
        <v>43</v>
      </c>
      <c r="S54" s="24" t="s">
        <v>743</v>
      </c>
      <c r="T54" s="24" t="str">
        <f t="shared" si="1"/>
        <v>Consolidado</v>
      </c>
    </row>
    <row r="55" ht="37.5" customHeight="1">
      <c r="A55" s="24" t="s">
        <v>744</v>
      </c>
      <c r="B55" s="24" t="s">
        <v>98</v>
      </c>
      <c r="C55" s="24" t="s">
        <v>725</v>
      </c>
      <c r="D55" s="24" t="s">
        <v>745</v>
      </c>
      <c r="E55" s="24" t="s">
        <v>71</v>
      </c>
      <c r="F55" s="24" t="s">
        <v>746</v>
      </c>
      <c r="G55" s="24" t="s">
        <v>739</v>
      </c>
      <c r="H55" s="24" t="s">
        <v>740</v>
      </c>
      <c r="I55" s="24">
        <v>200.0</v>
      </c>
      <c r="J55" s="24" t="s">
        <v>747</v>
      </c>
      <c r="K55" s="28">
        <v>200.0</v>
      </c>
      <c r="L55" s="29" t="s">
        <v>748</v>
      </c>
      <c r="M55" s="29" t="s">
        <v>6</v>
      </c>
      <c r="N55" s="27" t="s">
        <v>712</v>
      </c>
      <c r="O55" s="29" t="s">
        <v>399</v>
      </c>
      <c r="P55" s="26" t="s">
        <v>314</v>
      </c>
      <c r="Q55" s="29" t="s">
        <v>38</v>
      </c>
      <c r="R55" s="29" t="s">
        <v>43</v>
      </c>
      <c r="S55" s="24" t="s">
        <v>749</v>
      </c>
      <c r="T55" s="24" t="str">
        <f t="shared" si="1"/>
        <v>Consolidado</v>
      </c>
    </row>
    <row r="56" ht="37.5" customHeight="1">
      <c r="A56" s="24" t="s">
        <v>750</v>
      </c>
      <c r="B56" s="24" t="s">
        <v>98</v>
      </c>
      <c r="C56" s="24" t="s">
        <v>751</v>
      </c>
      <c r="D56" s="24" t="s">
        <v>752</v>
      </c>
      <c r="E56" s="24" t="s">
        <v>71</v>
      </c>
      <c r="F56" s="24" t="s">
        <v>746</v>
      </c>
      <c r="G56" s="24" t="s">
        <v>591</v>
      </c>
      <c r="H56" s="24" t="s">
        <v>592</v>
      </c>
      <c r="I56" s="24">
        <v>200.0</v>
      </c>
      <c r="J56" s="24" t="s">
        <v>753</v>
      </c>
      <c r="K56" s="28">
        <v>200.0</v>
      </c>
      <c r="L56" s="29" t="s">
        <v>754</v>
      </c>
      <c r="M56" s="29" t="s">
        <v>6</v>
      </c>
      <c r="N56" s="27" t="s">
        <v>712</v>
      </c>
      <c r="O56" s="29" t="s">
        <v>399</v>
      </c>
      <c r="P56" s="26" t="s">
        <v>320</v>
      </c>
      <c r="Q56" s="29" t="s">
        <v>38</v>
      </c>
      <c r="R56" s="29" t="s">
        <v>43</v>
      </c>
      <c r="S56" s="24" t="s">
        <v>755</v>
      </c>
      <c r="T56" s="24" t="str">
        <f t="shared" si="1"/>
        <v>Consolidado</v>
      </c>
    </row>
    <row r="57" ht="37.5" customHeight="1">
      <c r="A57" s="24" t="s">
        <v>756</v>
      </c>
      <c r="B57" s="24" t="s">
        <v>98</v>
      </c>
      <c r="C57" s="24" t="s">
        <v>751</v>
      </c>
      <c r="D57" s="24" t="s">
        <v>757</v>
      </c>
      <c r="E57" s="24" t="s">
        <v>71</v>
      </c>
      <c r="F57" s="24" t="s">
        <v>758</v>
      </c>
      <c r="G57" s="24" t="s">
        <v>591</v>
      </c>
      <c r="H57" s="24" t="s">
        <v>592</v>
      </c>
      <c r="I57" s="24">
        <v>200.0</v>
      </c>
      <c r="J57" s="24" t="s">
        <v>759</v>
      </c>
      <c r="K57" s="28">
        <v>200.0</v>
      </c>
      <c r="L57" s="29" t="s">
        <v>760</v>
      </c>
      <c r="M57" s="29" t="s">
        <v>6</v>
      </c>
      <c r="N57" s="27" t="s">
        <v>761</v>
      </c>
      <c r="O57" s="29" t="s">
        <v>399</v>
      </c>
      <c r="P57" s="26" t="s">
        <v>325</v>
      </c>
      <c r="Q57" s="29" t="s">
        <v>38</v>
      </c>
      <c r="R57" s="29" t="s">
        <v>43</v>
      </c>
      <c r="S57" s="24" t="s">
        <v>762</v>
      </c>
      <c r="T57" s="24" t="str">
        <f t="shared" si="1"/>
        <v>Consolidado</v>
      </c>
    </row>
    <row r="58" ht="37.5" customHeight="1">
      <c r="A58" s="24" t="s">
        <v>763</v>
      </c>
      <c r="B58" s="24" t="s">
        <v>98</v>
      </c>
      <c r="C58" s="24" t="s">
        <v>751</v>
      </c>
      <c r="D58" s="24" t="s">
        <v>764</v>
      </c>
      <c r="E58" s="24" t="s">
        <v>71</v>
      </c>
      <c r="F58" s="24" t="s">
        <v>765</v>
      </c>
      <c r="G58" s="24" t="s">
        <v>591</v>
      </c>
      <c r="H58" s="24" t="s">
        <v>592</v>
      </c>
      <c r="I58" s="24">
        <v>200.0</v>
      </c>
      <c r="J58" s="24" t="s">
        <v>766</v>
      </c>
      <c r="K58" s="28">
        <v>200.0</v>
      </c>
      <c r="L58" s="29" t="s">
        <v>767</v>
      </c>
      <c r="M58" s="29" t="s">
        <v>6</v>
      </c>
      <c r="N58" s="27" t="s">
        <v>761</v>
      </c>
      <c r="O58" s="29" t="s">
        <v>399</v>
      </c>
      <c r="P58" s="26" t="s">
        <v>330</v>
      </c>
      <c r="Q58" s="29" t="s">
        <v>38</v>
      </c>
      <c r="R58" s="29" t="s">
        <v>43</v>
      </c>
      <c r="S58" s="24" t="s">
        <v>768</v>
      </c>
      <c r="T58" s="24" t="str">
        <f t="shared" si="1"/>
        <v>Consolidado</v>
      </c>
    </row>
    <row r="59" ht="37.5" customHeight="1">
      <c r="A59" s="24" t="s">
        <v>769</v>
      </c>
      <c r="B59" s="24" t="s">
        <v>98</v>
      </c>
      <c r="C59" s="24" t="s">
        <v>751</v>
      </c>
      <c r="D59" s="24" t="s">
        <v>770</v>
      </c>
      <c r="E59" s="24" t="s">
        <v>71</v>
      </c>
      <c r="F59" s="24" t="s">
        <v>771</v>
      </c>
      <c r="G59" s="24" t="s">
        <v>591</v>
      </c>
      <c r="H59" s="24" t="s">
        <v>592</v>
      </c>
      <c r="I59" s="24">
        <v>200.0</v>
      </c>
      <c r="J59" s="24" t="s">
        <v>772</v>
      </c>
      <c r="K59" s="28">
        <v>200.0</v>
      </c>
      <c r="L59" s="29" t="s">
        <v>773</v>
      </c>
      <c r="M59" s="29" t="s">
        <v>6</v>
      </c>
      <c r="N59" s="27" t="s">
        <v>761</v>
      </c>
      <c r="O59" s="29" t="s">
        <v>399</v>
      </c>
      <c r="P59" s="26" t="s">
        <v>335</v>
      </c>
      <c r="Q59" s="29" t="s">
        <v>38</v>
      </c>
      <c r="R59" s="29" t="s">
        <v>43</v>
      </c>
      <c r="S59" s="24" t="s">
        <v>774</v>
      </c>
      <c r="T59" s="24" t="str">
        <f t="shared" si="1"/>
        <v>Consolidado</v>
      </c>
    </row>
    <row r="60" ht="37.5" customHeight="1">
      <c r="A60" s="24" t="s">
        <v>775</v>
      </c>
      <c r="B60" s="24" t="s">
        <v>98</v>
      </c>
      <c r="C60" s="24" t="s">
        <v>751</v>
      </c>
      <c r="D60" s="24" t="s">
        <v>776</v>
      </c>
      <c r="E60" s="24" t="s">
        <v>71</v>
      </c>
      <c r="F60" s="24" t="s">
        <v>777</v>
      </c>
      <c r="G60" s="24" t="s">
        <v>591</v>
      </c>
      <c r="H60" s="24" t="s">
        <v>592</v>
      </c>
      <c r="I60" s="24">
        <v>200.0</v>
      </c>
      <c r="J60" s="24" t="s">
        <v>778</v>
      </c>
      <c r="K60" s="28">
        <v>200.0</v>
      </c>
      <c r="L60" s="29" t="s">
        <v>779</v>
      </c>
      <c r="M60" s="29" t="s">
        <v>6</v>
      </c>
      <c r="N60" s="27" t="s">
        <v>761</v>
      </c>
      <c r="O60" s="29" t="s">
        <v>399</v>
      </c>
      <c r="P60" s="26" t="s">
        <v>342</v>
      </c>
      <c r="Q60" s="29" t="s">
        <v>38</v>
      </c>
      <c r="R60" s="29" t="s">
        <v>43</v>
      </c>
      <c r="S60" s="24" t="s">
        <v>780</v>
      </c>
      <c r="T60" s="24" t="str">
        <f t="shared" si="1"/>
        <v>Consolidado</v>
      </c>
    </row>
    <row r="61" ht="37.5" customHeight="1">
      <c r="A61" s="24" t="s">
        <v>781</v>
      </c>
      <c r="B61" s="24" t="s">
        <v>98</v>
      </c>
      <c r="C61" s="24" t="s">
        <v>782</v>
      </c>
      <c r="D61" s="24" t="s">
        <v>783</v>
      </c>
      <c r="E61" s="24" t="s">
        <v>71</v>
      </c>
      <c r="F61" s="24" t="s">
        <v>784</v>
      </c>
      <c r="G61" s="24" t="s">
        <v>739</v>
      </c>
      <c r="H61" s="24" t="s">
        <v>740</v>
      </c>
      <c r="I61" s="24">
        <v>200.0</v>
      </c>
      <c r="J61" s="24" t="s">
        <v>785</v>
      </c>
      <c r="K61" s="28">
        <v>200.0</v>
      </c>
      <c r="L61" s="29" t="s">
        <v>786</v>
      </c>
      <c r="M61" s="29" t="s">
        <v>6</v>
      </c>
      <c r="N61" s="27" t="s">
        <v>761</v>
      </c>
      <c r="O61" s="29" t="s">
        <v>399</v>
      </c>
      <c r="P61" s="26" t="s">
        <v>347</v>
      </c>
      <c r="Q61" s="29" t="s">
        <v>38</v>
      </c>
      <c r="R61" s="29" t="s">
        <v>43</v>
      </c>
      <c r="S61" s="24" t="s">
        <v>787</v>
      </c>
      <c r="T61" s="24" t="str">
        <f t="shared" si="1"/>
        <v>Consolidado</v>
      </c>
    </row>
    <row r="62" ht="37.5" customHeight="1">
      <c r="A62" s="24" t="s">
        <v>788</v>
      </c>
      <c r="B62" s="24" t="s">
        <v>98</v>
      </c>
      <c r="C62" s="24" t="s">
        <v>782</v>
      </c>
      <c r="D62" s="24" t="s">
        <v>789</v>
      </c>
      <c r="E62" s="24" t="s">
        <v>71</v>
      </c>
      <c r="F62" s="24" t="s">
        <v>790</v>
      </c>
      <c r="G62" s="24" t="s">
        <v>739</v>
      </c>
      <c r="H62" s="24" t="s">
        <v>791</v>
      </c>
      <c r="I62" s="24">
        <v>200.0</v>
      </c>
      <c r="J62" s="24" t="s">
        <v>792</v>
      </c>
      <c r="K62" s="28">
        <v>200.0</v>
      </c>
      <c r="L62" s="29" t="s">
        <v>793</v>
      </c>
      <c r="M62" s="29" t="s">
        <v>6</v>
      </c>
      <c r="N62" s="27" t="s">
        <v>761</v>
      </c>
      <c r="O62" s="29" t="s">
        <v>399</v>
      </c>
      <c r="P62" s="26" t="s">
        <v>353</v>
      </c>
      <c r="Q62" s="29" t="s">
        <v>38</v>
      </c>
      <c r="R62" s="29" t="s">
        <v>43</v>
      </c>
      <c r="S62" s="24" t="s">
        <v>794</v>
      </c>
      <c r="T62" s="24" t="str">
        <f t="shared" si="1"/>
        <v>Consolidado</v>
      </c>
    </row>
    <row r="63" ht="37.5" customHeight="1">
      <c r="A63" s="24" t="s">
        <v>795</v>
      </c>
      <c r="B63" s="24" t="s">
        <v>98</v>
      </c>
      <c r="C63" s="24" t="s">
        <v>782</v>
      </c>
      <c r="D63" s="24" t="s">
        <v>796</v>
      </c>
      <c r="E63" s="24" t="s">
        <v>71</v>
      </c>
      <c r="F63" s="24" t="s">
        <v>797</v>
      </c>
      <c r="G63" s="24" t="s">
        <v>739</v>
      </c>
      <c r="H63" s="24" t="s">
        <v>798</v>
      </c>
      <c r="I63" s="24">
        <v>200.0</v>
      </c>
      <c r="J63" s="24" t="s">
        <v>799</v>
      </c>
      <c r="K63" s="28">
        <v>200.0</v>
      </c>
      <c r="L63" s="29" t="s">
        <v>800</v>
      </c>
      <c r="M63" s="29" t="s">
        <v>6</v>
      </c>
      <c r="N63" s="27" t="s">
        <v>761</v>
      </c>
      <c r="O63" s="29" t="s">
        <v>399</v>
      </c>
      <c r="P63" s="26" t="s">
        <v>358</v>
      </c>
      <c r="Q63" s="29" t="s">
        <v>38</v>
      </c>
      <c r="R63" s="29" t="s">
        <v>43</v>
      </c>
      <c r="S63" s="24" t="s">
        <v>801</v>
      </c>
      <c r="T63" s="24" t="str">
        <f t="shared" si="1"/>
        <v>Consolidado</v>
      </c>
    </row>
    <row r="64" ht="37.5" customHeight="1">
      <c r="A64" s="24" t="s">
        <v>802</v>
      </c>
      <c r="B64" s="24" t="s">
        <v>98</v>
      </c>
      <c r="C64" s="24" t="s">
        <v>782</v>
      </c>
      <c r="D64" s="24" t="s">
        <v>803</v>
      </c>
      <c r="E64" s="24" t="s">
        <v>71</v>
      </c>
      <c r="F64" s="24" t="s">
        <v>804</v>
      </c>
      <c r="G64" s="24" t="s">
        <v>739</v>
      </c>
      <c r="H64" s="24" t="s">
        <v>740</v>
      </c>
      <c r="I64" s="24">
        <v>200.0</v>
      </c>
      <c r="J64" s="24" t="s">
        <v>805</v>
      </c>
      <c r="K64" s="28">
        <v>200.0</v>
      </c>
      <c r="L64" s="29" t="s">
        <v>806</v>
      </c>
      <c r="M64" s="29" t="s">
        <v>6</v>
      </c>
      <c r="N64" s="27" t="s">
        <v>761</v>
      </c>
      <c r="O64" s="29" t="s">
        <v>399</v>
      </c>
      <c r="P64" s="26" t="s">
        <v>364</v>
      </c>
      <c r="Q64" s="29" t="s">
        <v>38</v>
      </c>
      <c r="R64" s="29" t="s">
        <v>43</v>
      </c>
      <c r="S64" s="24" t="s">
        <v>807</v>
      </c>
      <c r="T64" s="24" t="str">
        <f t="shared" si="1"/>
        <v>Consolidado</v>
      </c>
    </row>
    <row r="65" ht="37.5" customHeight="1">
      <c r="A65" s="24" t="s">
        <v>808</v>
      </c>
      <c r="B65" s="24" t="s">
        <v>98</v>
      </c>
      <c r="C65" s="24" t="s">
        <v>782</v>
      </c>
      <c r="D65" s="24" t="s">
        <v>809</v>
      </c>
      <c r="E65" s="24" t="s">
        <v>71</v>
      </c>
      <c r="F65" s="24" t="s">
        <v>810</v>
      </c>
      <c r="G65" s="24" t="s">
        <v>739</v>
      </c>
      <c r="H65" s="24" t="s">
        <v>740</v>
      </c>
      <c r="I65" s="24">
        <v>200.0</v>
      </c>
      <c r="J65" s="24" t="s">
        <v>811</v>
      </c>
      <c r="K65" s="28">
        <v>200.0</v>
      </c>
      <c r="L65" s="29" t="s">
        <v>812</v>
      </c>
      <c r="M65" s="29" t="s">
        <v>6</v>
      </c>
      <c r="N65" s="27" t="s">
        <v>761</v>
      </c>
      <c r="O65" s="29" t="s">
        <v>399</v>
      </c>
      <c r="P65" s="26" t="s">
        <v>369</v>
      </c>
      <c r="Q65" s="29" t="s">
        <v>38</v>
      </c>
      <c r="R65" s="29" t="s">
        <v>43</v>
      </c>
      <c r="S65" s="24" t="s">
        <v>813</v>
      </c>
      <c r="T65" s="24" t="str">
        <f t="shared" si="1"/>
        <v>Consolidado</v>
      </c>
    </row>
    <row r="66" ht="37.5" customHeight="1">
      <c r="A66" s="24" t="s">
        <v>814</v>
      </c>
      <c r="B66" s="24" t="s">
        <v>98</v>
      </c>
      <c r="C66" s="24" t="s">
        <v>782</v>
      </c>
      <c r="D66" s="24" t="s">
        <v>815</v>
      </c>
      <c r="E66" s="24" t="s">
        <v>71</v>
      </c>
      <c r="F66" s="24" t="s">
        <v>816</v>
      </c>
      <c r="G66" s="24" t="s">
        <v>739</v>
      </c>
      <c r="H66" s="24" t="s">
        <v>740</v>
      </c>
      <c r="I66" s="24">
        <v>200.0</v>
      </c>
      <c r="J66" s="24" t="s">
        <v>817</v>
      </c>
      <c r="K66" s="28">
        <v>200.0</v>
      </c>
      <c r="L66" s="29" t="s">
        <v>818</v>
      </c>
      <c r="M66" s="29" t="s">
        <v>6</v>
      </c>
      <c r="N66" s="27" t="s">
        <v>761</v>
      </c>
      <c r="O66" s="29" t="s">
        <v>399</v>
      </c>
      <c r="P66" s="26" t="s">
        <v>375</v>
      </c>
      <c r="Q66" s="29" t="s">
        <v>38</v>
      </c>
      <c r="R66" s="29" t="s">
        <v>43</v>
      </c>
      <c r="S66" s="24" t="s">
        <v>819</v>
      </c>
      <c r="T66" s="24" t="str">
        <f t="shared" si="1"/>
        <v>Consolidado</v>
      </c>
    </row>
    <row r="67" ht="37.5" customHeight="1">
      <c r="A67" s="24" t="s">
        <v>820</v>
      </c>
      <c r="B67" s="24" t="s">
        <v>98</v>
      </c>
      <c r="C67" s="24" t="s">
        <v>782</v>
      </c>
      <c r="D67" s="24" t="s">
        <v>821</v>
      </c>
      <c r="E67" s="24" t="s">
        <v>71</v>
      </c>
      <c r="F67" s="24" t="s">
        <v>822</v>
      </c>
      <c r="G67" s="24" t="s">
        <v>739</v>
      </c>
      <c r="H67" s="24" t="s">
        <v>740</v>
      </c>
      <c r="I67" s="24">
        <v>200.0</v>
      </c>
      <c r="J67" s="24" t="s">
        <v>823</v>
      </c>
      <c r="K67" s="28">
        <v>200.0</v>
      </c>
      <c r="L67" s="29" t="s">
        <v>824</v>
      </c>
      <c r="M67" s="29" t="s">
        <v>6</v>
      </c>
      <c r="N67" s="27" t="s">
        <v>761</v>
      </c>
      <c r="O67" s="29" t="s">
        <v>399</v>
      </c>
      <c r="P67" s="26" t="s">
        <v>379</v>
      </c>
      <c r="Q67" s="29" t="s">
        <v>38</v>
      </c>
      <c r="R67" s="29" t="s">
        <v>43</v>
      </c>
      <c r="S67" s="24" t="s">
        <v>825</v>
      </c>
      <c r="T67" s="24" t="str">
        <f t="shared" si="1"/>
        <v>Consolidado</v>
      </c>
    </row>
    <row r="68" ht="37.5" customHeight="1">
      <c r="A68" s="24" t="s">
        <v>826</v>
      </c>
      <c r="B68" s="24" t="s">
        <v>98</v>
      </c>
      <c r="C68" s="24" t="s">
        <v>782</v>
      </c>
      <c r="D68" s="24" t="s">
        <v>827</v>
      </c>
      <c r="E68" s="24" t="s">
        <v>71</v>
      </c>
      <c r="F68" s="24" t="s">
        <v>828</v>
      </c>
      <c r="G68" s="24" t="s">
        <v>739</v>
      </c>
      <c r="H68" s="24" t="s">
        <v>740</v>
      </c>
      <c r="I68" s="24">
        <v>200.0</v>
      </c>
      <c r="J68" s="24" t="s">
        <v>829</v>
      </c>
      <c r="K68" s="28">
        <v>200.0</v>
      </c>
      <c r="L68" s="29" t="s">
        <v>830</v>
      </c>
      <c r="M68" s="29" t="s">
        <v>6</v>
      </c>
      <c r="N68" s="27" t="s">
        <v>831</v>
      </c>
      <c r="O68" s="29" t="s">
        <v>399</v>
      </c>
      <c r="P68" s="26" t="s">
        <v>384</v>
      </c>
      <c r="Q68" s="29" t="s">
        <v>38</v>
      </c>
      <c r="R68" s="29" t="s">
        <v>43</v>
      </c>
      <c r="S68" s="24" t="s">
        <v>832</v>
      </c>
      <c r="T68" s="24" t="str">
        <f t="shared" si="1"/>
        <v>Consolidado</v>
      </c>
    </row>
    <row r="69" ht="37.5" customHeight="1">
      <c r="A69" s="24" t="s">
        <v>833</v>
      </c>
      <c r="B69" s="24" t="s">
        <v>98</v>
      </c>
      <c r="C69" s="24" t="s">
        <v>782</v>
      </c>
      <c r="D69" s="24" t="s">
        <v>834</v>
      </c>
      <c r="E69" s="24" t="s">
        <v>71</v>
      </c>
      <c r="F69" s="24" t="s">
        <v>835</v>
      </c>
      <c r="G69" s="24" t="s">
        <v>739</v>
      </c>
      <c r="H69" s="24" t="s">
        <v>740</v>
      </c>
      <c r="I69" s="24">
        <v>200.0</v>
      </c>
      <c r="J69" s="24" t="s">
        <v>836</v>
      </c>
      <c r="K69" s="28">
        <v>200.0</v>
      </c>
      <c r="L69" s="29" t="s">
        <v>837</v>
      </c>
      <c r="M69" s="29" t="s">
        <v>6</v>
      </c>
      <c r="N69" s="27" t="s">
        <v>831</v>
      </c>
      <c r="O69" s="29" t="s">
        <v>399</v>
      </c>
      <c r="P69" s="26" t="s">
        <v>391</v>
      </c>
      <c r="Q69" s="29" t="s">
        <v>38</v>
      </c>
      <c r="R69" s="29" t="s">
        <v>43</v>
      </c>
      <c r="S69" s="24" t="s">
        <v>838</v>
      </c>
      <c r="T69" s="24" t="str">
        <f t="shared" si="1"/>
        <v>Consolidado</v>
      </c>
    </row>
    <row r="70" ht="37.5" customHeight="1">
      <c r="A70" s="24" t="s">
        <v>839</v>
      </c>
      <c r="B70" s="24" t="s">
        <v>98</v>
      </c>
      <c r="C70" s="24" t="s">
        <v>782</v>
      </c>
      <c r="D70" s="24" t="s">
        <v>840</v>
      </c>
      <c r="E70" s="24" t="s">
        <v>71</v>
      </c>
      <c r="F70" s="24" t="s">
        <v>841</v>
      </c>
      <c r="G70" s="24" t="s">
        <v>739</v>
      </c>
      <c r="H70" s="24" t="s">
        <v>740</v>
      </c>
      <c r="I70" s="24">
        <v>200.0</v>
      </c>
      <c r="J70" s="24" t="s">
        <v>842</v>
      </c>
      <c r="K70" s="28">
        <v>200.0</v>
      </c>
      <c r="L70" s="29" t="s">
        <v>843</v>
      </c>
      <c r="M70" s="29" t="s">
        <v>6</v>
      </c>
      <c r="N70" s="27" t="s">
        <v>831</v>
      </c>
      <c r="O70" s="29" t="s">
        <v>399</v>
      </c>
      <c r="P70" s="26" t="s">
        <v>395</v>
      </c>
      <c r="Q70" s="29" t="s">
        <v>38</v>
      </c>
      <c r="R70" s="29" t="s">
        <v>43</v>
      </c>
      <c r="S70" s="24" t="s">
        <v>844</v>
      </c>
      <c r="T70" s="24" t="str">
        <f t="shared" si="1"/>
        <v>Consolidado</v>
      </c>
    </row>
    <row r="71" ht="37.5" customHeight="1">
      <c r="A71" s="24" t="s">
        <v>845</v>
      </c>
      <c r="B71" s="24" t="s">
        <v>98</v>
      </c>
      <c r="C71" s="24" t="s">
        <v>782</v>
      </c>
      <c r="D71" s="24" t="s">
        <v>846</v>
      </c>
      <c r="E71" s="24" t="s">
        <v>71</v>
      </c>
      <c r="F71" s="24" t="s">
        <v>847</v>
      </c>
      <c r="G71" s="24" t="s">
        <v>739</v>
      </c>
      <c r="H71" s="24" t="s">
        <v>740</v>
      </c>
      <c r="I71" s="24">
        <v>200.0</v>
      </c>
      <c r="J71" s="24" t="s">
        <v>848</v>
      </c>
      <c r="K71" s="28">
        <v>200.0</v>
      </c>
      <c r="L71" s="29" t="s">
        <v>849</v>
      </c>
      <c r="M71" s="29" t="s">
        <v>6</v>
      </c>
      <c r="N71" s="27" t="s">
        <v>831</v>
      </c>
      <c r="O71" s="29" t="s">
        <v>399</v>
      </c>
      <c r="P71" s="26" t="s">
        <v>401</v>
      </c>
      <c r="Q71" s="29" t="s">
        <v>38</v>
      </c>
      <c r="R71" s="29" t="s">
        <v>43</v>
      </c>
      <c r="S71" s="24" t="s">
        <v>850</v>
      </c>
      <c r="T71" s="24" t="str">
        <f t="shared" si="1"/>
        <v>Consolidado</v>
      </c>
    </row>
    <row r="72" ht="37.5" customHeight="1">
      <c r="A72" s="24" t="s">
        <v>851</v>
      </c>
      <c r="B72" s="24" t="s">
        <v>98</v>
      </c>
      <c r="C72" s="24" t="s">
        <v>782</v>
      </c>
      <c r="D72" s="24" t="s">
        <v>852</v>
      </c>
      <c r="E72" s="24" t="s">
        <v>71</v>
      </c>
      <c r="F72" s="24" t="s">
        <v>853</v>
      </c>
      <c r="G72" s="24" t="s">
        <v>739</v>
      </c>
      <c r="H72" s="24" t="s">
        <v>740</v>
      </c>
      <c r="I72" s="24">
        <v>200.0</v>
      </c>
      <c r="J72" s="24" t="s">
        <v>854</v>
      </c>
      <c r="K72" s="28">
        <v>200.0</v>
      </c>
      <c r="L72" s="29" t="s">
        <v>855</v>
      </c>
      <c r="M72" s="29" t="s">
        <v>6</v>
      </c>
      <c r="N72" s="27" t="s">
        <v>831</v>
      </c>
      <c r="O72" s="29" t="s">
        <v>399</v>
      </c>
      <c r="P72" s="26" t="s">
        <v>408</v>
      </c>
      <c r="Q72" s="29" t="s">
        <v>38</v>
      </c>
      <c r="R72" s="29" t="s">
        <v>43</v>
      </c>
      <c r="S72" s="24" t="s">
        <v>856</v>
      </c>
      <c r="T72" s="24" t="str">
        <f t="shared" si="1"/>
        <v>Consolidado</v>
      </c>
    </row>
    <row r="73" ht="37.5" customHeight="1">
      <c r="A73" s="24" t="s">
        <v>857</v>
      </c>
      <c r="B73" s="24" t="s">
        <v>98</v>
      </c>
      <c r="C73" s="24" t="s">
        <v>782</v>
      </c>
      <c r="D73" s="24" t="s">
        <v>858</v>
      </c>
      <c r="E73" s="24" t="s">
        <v>71</v>
      </c>
      <c r="F73" s="24" t="s">
        <v>859</v>
      </c>
      <c r="G73" s="24" t="s">
        <v>739</v>
      </c>
      <c r="H73" s="24" t="s">
        <v>740</v>
      </c>
      <c r="I73" s="24">
        <v>200.0</v>
      </c>
      <c r="J73" s="24" t="s">
        <v>860</v>
      </c>
      <c r="K73" s="28">
        <v>200.0</v>
      </c>
      <c r="L73" s="29" t="s">
        <v>861</v>
      </c>
      <c r="M73" s="29" t="s">
        <v>6</v>
      </c>
      <c r="N73" s="27" t="s">
        <v>831</v>
      </c>
      <c r="O73" s="29" t="s">
        <v>399</v>
      </c>
      <c r="P73" s="26" t="s">
        <v>414</v>
      </c>
      <c r="Q73" s="29" t="s">
        <v>38</v>
      </c>
      <c r="R73" s="29" t="s">
        <v>43</v>
      </c>
      <c r="S73" s="24" t="s">
        <v>862</v>
      </c>
      <c r="T73" s="24" t="str">
        <f t="shared" si="1"/>
        <v>Consolidado</v>
      </c>
    </row>
    <row r="74" ht="37.5" customHeight="1">
      <c r="A74" s="24" t="s">
        <v>863</v>
      </c>
      <c r="B74" s="24" t="s">
        <v>98</v>
      </c>
      <c r="C74" s="24" t="s">
        <v>864</v>
      </c>
      <c r="D74" s="24" t="s">
        <v>865</v>
      </c>
      <c r="E74" s="24" t="s">
        <v>71</v>
      </c>
      <c r="F74" s="24" t="s">
        <v>866</v>
      </c>
      <c r="G74" s="24" t="s">
        <v>591</v>
      </c>
      <c r="H74" s="24" t="s">
        <v>592</v>
      </c>
      <c r="I74" s="24">
        <v>404.0</v>
      </c>
      <c r="J74" s="24" t="s">
        <v>867</v>
      </c>
      <c r="K74" s="28">
        <v>404.0</v>
      </c>
      <c r="L74" s="29" t="s">
        <v>868</v>
      </c>
      <c r="M74" s="29" t="s">
        <v>6</v>
      </c>
      <c r="N74" s="27" t="s">
        <v>831</v>
      </c>
      <c r="O74" s="29" t="s">
        <v>399</v>
      </c>
      <c r="P74" s="26" t="s">
        <v>420</v>
      </c>
      <c r="Q74" s="29" t="s">
        <v>38</v>
      </c>
      <c r="R74" s="29" t="s">
        <v>43</v>
      </c>
      <c r="S74" s="24" t="s">
        <v>869</v>
      </c>
      <c r="T74" s="24" t="str">
        <f t="shared" si="1"/>
        <v>Consolidado</v>
      </c>
    </row>
    <row r="75" ht="37.5" customHeight="1">
      <c r="A75" s="24" t="s">
        <v>870</v>
      </c>
      <c r="B75" s="24" t="s">
        <v>98</v>
      </c>
      <c r="C75" s="24" t="s">
        <v>864</v>
      </c>
      <c r="D75" s="24" t="s">
        <v>871</v>
      </c>
      <c r="E75" s="24" t="s">
        <v>71</v>
      </c>
      <c r="F75" s="24" t="s">
        <v>872</v>
      </c>
      <c r="G75" s="24" t="s">
        <v>591</v>
      </c>
      <c r="H75" s="24" t="s">
        <v>592</v>
      </c>
      <c r="I75" s="24">
        <v>404.0</v>
      </c>
      <c r="J75" s="24" t="s">
        <v>873</v>
      </c>
      <c r="K75" s="28">
        <v>404.0</v>
      </c>
      <c r="L75" s="29" t="s">
        <v>874</v>
      </c>
      <c r="M75" s="29" t="s">
        <v>6</v>
      </c>
      <c r="N75" s="27" t="s">
        <v>831</v>
      </c>
      <c r="O75" s="29" t="s">
        <v>399</v>
      </c>
      <c r="P75" s="26" t="s">
        <v>426</v>
      </c>
      <c r="Q75" s="29" t="s">
        <v>38</v>
      </c>
      <c r="R75" s="29" t="s">
        <v>43</v>
      </c>
      <c r="S75" s="24" t="s">
        <v>875</v>
      </c>
      <c r="T75" s="24" t="str">
        <f t="shared" si="1"/>
        <v>Consolidado</v>
      </c>
    </row>
    <row r="76" ht="37.5" customHeight="1">
      <c r="A76" s="24" t="s">
        <v>876</v>
      </c>
      <c r="B76" s="24" t="s">
        <v>98</v>
      </c>
      <c r="C76" s="24" t="s">
        <v>864</v>
      </c>
      <c r="D76" s="24" t="s">
        <v>877</v>
      </c>
      <c r="E76" s="24" t="s">
        <v>71</v>
      </c>
      <c r="F76" s="24" t="s">
        <v>878</v>
      </c>
      <c r="G76" s="24" t="s">
        <v>591</v>
      </c>
      <c r="H76" s="24" t="s">
        <v>592</v>
      </c>
      <c r="I76" s="24">
        <v>404.0</v>
      </c>
      <c r="J76" s="24" t="s">
        <v>879</v>
      </c>
      <c r="K76" s="28">
        <v>404.0</v>
      </c>
      <c r="L76" s="29" t="s">
        <v>880</v>
      </c>
      <c r="M76" s="29" t="s">
        <v>6</v>
      </c>
      <c r="N76" s="27" t="s">
        <v>831</v>
      </c>
      <c r="O76" s="29" t="s">
        <v>399</v>
      </c>
      <c r="P76" s="26" t="s">
        <v>431</v>
      </c>
      <c r="Q76" s="29" t="s">
        <v>38</v>
      </c>
      <c r="R76" s="29" t="s">
        <v>43</v>
      </c>
      <c r="S76" s="24" t="s">
        <v>881</v>
      </c>
      <c r="T76" s="24" t="str">
        <f t="shared" si="1"/>
        <v>Consolidado</v>
      </c>
    </row>
    <row r="77" ht="37.5" customHeight="1">
      <c r="A77" s="24" t="s">
        <v>882</v>
      </c>
      <c r="B77" s="24" t="s">
        <v>98</v>
      </c>
      <c r="C77" s="24" t="s">
        <v>864</v>
      </c>
      <c r="D77" s="24" t="s">
        <v>883</v>
      </c>
      <c r="E77" s="24" t="s">
        <v>71</v>
      </c>
      <c r="F77" s="24" t="s">
        <v>884</v>
      </c>
      <c r="G77" s="24" t="s">
        <v>739</v>
      </c>
      <c r="H77" s="24" t="s">
        <v>740</v>
      </c>
      <c r="I77" s="24">
        <v>404.0</v>
      </c>
      <c r="J77" s="24" t="s">
        <v>885</v>
      </c>
      <c r="K77" s="28">
        <v>404.0</v>
      </c>
      <c r="L77" s="29" t="s">
        <v>886</v>
      </c>
      <c r="M77" s="29" t="s">
        <v>6</v>
      </c>
      <c r="N77" s="27" t="s">
        <v>831</v>
      </c>
      <c r="O77" s="29" t="s">
        <v>399</v>
      </c>
      <c r="P77" s="26" t="s">
        <v>436</v>
      </c>
      <c r="Q77" s="29" t="s">
        <v>38</v>
      </c>
      <c r="R77" s="29" t="s">
        <v>43</v>
      </c>
      <c r="S77" s="24" t="s">
        <v>887</v>
      </c>
      <c r="T77" s="24" t="str">
        <f t="shared" si="1"/>
        <v>Consolidado</v>
      </c>
    </row>
    <row r="78" ht="37.5" customHeight="1">
      <c r="A78" s="24" t="s">
        <v>888</v>
      </c>
      <c r="B78" s="24" t="s">
        <v>98</v>
      </c>
      <c r="C78" s="24" t="s">
        <v>864</v>
      </c>
      <c r="D78" s="24" t="s">
        <v>889</v>
      </c>
      <c r="E78" s="24" t="s">
        <v>71</v>
      </c>
      <c r="F78" s="24" t="s">
        <v>237</v>
      </c>
      <c r="G78" s="24" t="s">
        <v>591</v>
      </c>
      <c r="H78" s="24" t="s">
        <v>592</v>
      </c>
      <c r="I78" s="24">
        <v>403.0</v>
      </c>
      <c r="J78" s="24" t="s">
        <v>890</v>
      </c>
      <c r="K78" s="28">
        <v>403.0</v>
      </c>
      <c r="L78" s="29" t="s">
        <v>891</v>
      </c>
      <c r="M78" s="29" t="s">
        <v>6</v>
      </c>
      <c r="N78" s="27" t="s">
        <v>831</v>
      </c>
      <c r="O78" s="29" t="s">
        <v>399</v>
      </c>
      <c r="P78" s="26" t="s">
        <v>440</v>
      </c>
      <c r="Q78" s="29" t="s">
        <v>38</v>
      </c>
      <c r="R78" s="29" t="s">
        <v>43</v>
      </c>
      <c r="S78" s="24" t="s">
        <v>892</v>
      </c>
      <c r="T78" s="24" t="str">
        <f t="shared" si="1"/>
        <v>Consolidado</v>
      </c>
    </row>
    <row r="79" ht="37.5" customHeight="1">
      <c r="A79" s="24" t="s">
        <v>893</v>
      </c>
      <c r="B79" s="24" t="s">
        <v>98</v>
      </c>
      <c r="C79" s="24" t="s">
        <v>864</v>
      </c>
      <c r="D79" s="24" t="s">
        <v>894</v>
      </c>
      <c r="E79" s="24" t="s">
        <v>71</v>
      </c>
      <c r="F79" s="24" t="s">
        <v>237</v>
      </c>
      <c r="G79" s="24" t="s">
        <v>635</v>
      </c>
      <c r="H79" s="24" t="s">
        <v>76</v>
      </c>
      <c r="I79" s="24">
        <v>401.0</v>
      </c>
      <c r="J79" s="24" t="s">
        <v>636</v>
      </c>
      <c r="K79" s="28">
        <v>401.0</v>
      </c>
      <c r="L79" s="29" t="s">
        <v>644</v>
      </c>
      <c r="M79" s="29" t="s">
        <v>6</v>
      </c>
      <c r="N79" s="27" t="s">
        <v>831</v>
      </c>
      <c r="O79" s="29" t="s">
        <v>399</v>
      </c>
      <c r="P79" s="26" t="s">
        <v>446</v>
      </c>
      <c r="Q79" s="29" t="s">
        <v>38</v>
      </c>
      <c r="R79" s="29" t="s">
        <v>43</v>
      </c>
      <c r="S79" s="24" t="s">
        <v>895</v>
      </c>
      <c r="T79" s="24" t="str">
        <f t="shared" si="1"/>
        <v>Consolidado</v>
      </c>
    </row>
    <row r="80" ht="37.5" customHeight="1">
      <c r="A80" s="24" t="s">
        <v>896</v>
      </c>
      <c r="B80" s="24" t="s">
        <v>98</v>
      </c>
      <c r="C80" s="24" t="s">
        <v>864</v>
      </c>
      <c r="D80" s="24" t="s">
        <v>897</v>
      </c>
      <c r="E80" s="24" t="s">
        <v>71</v>
      </c>
      <c r="F80" s="24" t="s">
        <v>898</v>
      </c>
      <c r="G80" s="24" t="s">
        <v>739</v>
      </c>
      <c r="H80" s="24" t="s">
        <v>740</v>
      </c>
      <c r="I80" s="24">
        <v>400.0</v>
      </c>
      <c r="J80" s="24" t="s">
        <v>899</v>
      </c>
      <c r="K80" s="28">
        <v>400.0</v>
      </c>
      <c r="L80" s="29" t="s">
        <v>900</v>
      </c>
      <c r="M80" s="29" t="s">
        <v>6</v>
      </c>
      <c r="N80" s="27" t="s">
        <v>831</v>
      </c>
      <c r="O80" s="29" t="s">
        <v>399</v>
      </c>
      <c r="P80" s="26" t="s">
        <v>452</v>
      </c>
      <c r="Q80" s="29" t="s">
        <v>38</v>
      </c>
      <c r="R80" s="29" t="s">
        <v>43</v>
      </c>
      <c r="S80" s="24" t="s">
        <v>901</v>
      </c>
      <c r="T80" s="24" t="str">
        <f t="shared" si="1"/>
        <v>Consolidado</v>
      </c>
    </row>
    <row r="81" ht="37.5" customHeight="1">
      <c r="A81" s="24" t="s">
        <v>902</v>
      </c>
      <c r="B81" s="24" t="s">
        <v>98</v>
      </c>
      <c r="C81" s="24" t="s">
        <v>864</v>
      </c>
      <c r="D81" s="24" t="s">
        <v>903</v>
      </c>
      <c r="E81" s="24" t="s">
        <v>71</v>
      </c>
      <c r="F81" s="24" t="s">
        <v>904</v>
      </c>
      <c r="G81" s="24" t="s">
        <v>739</v>
      </c>
      <c r="H81" s="24" t="s">
        <v>740</v>
      </c>
      <c r="I81" s="24">
        <v>400.0</v>
      </c>
      <c r="J81" s="24" t="s">
        <v>905</v>
      </c>
      <c r="K81" s="28">
        <v>400.0</v>
      </c>
      <c r="L81" s="29" t="s">
        <v>906</v>
      </c>
      <c r="M81" s="29" t="s">
        <v>6</v>
      </c>
      <c r="N81" s="27" t="s">
        <v>831</v>
      </c>
      <c r="O81" s="29" t="s">
        <v>399</v>
      </c>
      <c r="P81" s="26" t="s">
        <v>457</v>
      </c>
      <c r="Q81" s="29" t="s">
        <v>38</v>
      </c>
      <c r="R81" s="29" t="s">
        <v>43</v>
      </c>
      <c r="S81" s="24" t="s">
        <v>907</v>
      </c>
      <c r="T81" s="24" t="str">
        <f t="shared" si="1"/>
        <v>Consolidado</v>
      </c>
    </row>
    <row r="82" ht="37.5" customHeight="1">
      <c r="A82" s="24" t="s">
        <v>908</v>
      </c>
      <c r="B82" s="24" t="s">
        <v>98</v>
      </c>
      <c r="C82" s="24" t="s">
        <v>864</v>
      </c>
      <c r="D82" s="24" t="s">
        <v>909</v>
      </c>
      <c r="E82" s="24" t="s">
        <v>71</v>
      </c>
      <c r="F82" s="24" t="s">
        <v>910</v>
      </c>
      <c r="G82" s="24" t="s">
        <v>739</v>
      </c>
      <c r="H82" s="24" t="s">
        <v>740</v>
      </c>
      <c r="I82" s="24">
        <v>400.0</v>
      </c>
      <c r="J82" s="24" t="s">
        <v>911</v>
      </c>
      <c r="K82" s="28">
        <v>400.0</v>
      </c>
      <c r="L82" s="29" t="s">
        <v>272</v>
      </c>
      <c r="M82" s="29" t="s">
        <v>6</v>
      </c>
      <c r="N82" s="27" t="s">
        <v>831</v>
      </c>
      <c r="O82" s="29" t="s">
        <v>399</v>
      </c>
      <c r="P82" s="26" t="s">
        <v>463</v>
      </c>
      <c r="Q82" s="29" t="s">
        <v>38</v>
      </c>
      <c r="R82" s="29" t="s">
        <v>43</v>
      </c>
      <c r="S82" s="24" t="s">
        <v>912</v>
      </c>
      <c r="T82" s="24" t="str">
        <f t="shared" si="1"/>
        <v>Consolidado</v>
      </c>
    </row>
    <row r="83" ht="37.5" customHeight="1">
      <c r="A83" s="24" t="s">
        <v>913</v>
      </c>
      <c r="B83" s="24" t="s">
        <v>98</v>
      </c>
      <c r="C83" s="24" t="s">
        <v>864</v>
      </c>
      <c r="D83" s="24" t="s">
        <v>914</v>
      </c>
      <c r="E83" s="24" t="s">
        <v>71</v>
      </c>
      <c r="F83" s="24" t="s">
        <v>915</v>
      </c>
      <c r="G83" s="24" t="s">
        <v>591</v>
      </c>
      <c r="H83" s="24" t="s">
        <v>592</v>
      </c>
      <c r="I83" s="24">
        <v>403.0</v>
      </c>
      <c r="J83" s="24" t="s">
        <v>890</v>
      </c>
      <c r="K83" s="28">
        <v>403.0</v>
      </c>
      <c r="L83" s="29" t="s">
        <v>916</v>
      </c>
      <c r="M83" s="29" t="s">
        <v>6</v>
      </c>
      <c r="N83" s="27" t="s">
        <v>831</v>
      </c>
      <c r="O83" s="29" t="s">
        <v>399</v>
      </c>
      <c r="P83" s="26" t="s">
        <v>468</v>
      </c>
      <c r="Q83" s="29" t="s">
        <v>38</v>
      </c>
      <c r="R83" s="29" t="s">
        <v>43</v>
      </c>
      <c r="S83" s="24" t="s">
        <v>917</v>
      </c>
      <c r="T83" s="24" t="str">
        <f t="shared" si="1"/>
        <v>Consolidado</v>
      </c>
    </row>
    <row r="84" ht="37.5" customHeight="1">
      <c r="A84" s="24" t="s">
        <v>918</v>
      </c>
      <c r="B84" s="24" t="s">
        <v>98</v>
      </c>
      <c r="C84" s="24" t="s">
        <v>919</v>
      </c>
      <c r="D84" s="24" t="s">
        <v>920</v>
      </c>
      <c r="E84" s="24" t="s">
        <v>71</v>
      </c>
      <c r="F84" s="24" t="s">
        <v>746</v>
      </c>
      <c r="G84" s="24" t="s">
        <v>699</v>
      </c>
      <c r="H84" s="24" t="s">
        <v>700</v>
      </c>
      <c r="I84" s="24">
        <v>200.0</v>
      </c>
      <c r="J84" s="24" t="s">
        <v>921</v>
      </c>
      <c r="K84" s="28">
        <v>200.0</v>
      </c>
      <c r="L84" s="29" t="s">
        <v>922</v>
      </c>
      <c r="M84" s="29" t="s">
        <v>6</v>
      </c>
      <c r="N84" s="27" t="s">
        <v>831</v>
      </c>
      <c r="O84" s="26" t="s">
        <v>87</v>
      </c>
      <c r="P84" s="26" t="s">
        <v>473</v>
      </c>
      <c r="Q84" s="29" t="s">
        <v>38</v>
      </c>
      <c r="R84" s="29" t="s">
        <v>43</v>
      </c>
      <c r="S84" s="24" t="s">
        <v>923</v>
      </c>
      <c r="T84" s="24" t="str">
        <f t="shared" si="1"/>
        <v>Consolidado</v>
      </c>
    </row>
    <row r="85" ht="37.5" customHeight="1">
      <c r="A85" s="24" t="s">
        <v>924</v>
      </c>
      <c r="B85" s="24" t="s">
        <v>98</v>
      </c>
      <c r="C85" s="24" t="s">
        <v>919</v>
      </c>
      <c r="D85" s="24" t="s">
        <v>925</v>
      </c>
      <c r="E85" s="24" t="s">
        <v>71</v>
      </c>
      <c r="F85" s="24" t="s">
        <v>746</v>
      </c>
      <c r="G85" s="24" t="s">
        <v>710</v>
      </c>
      <c r="H85" s="24" t="s">
        <v>711</v>
      </c>
      <c r="I85" s="24">
        <v>200.0</v>
      </c>
      <c r="J85" s="24" t="s">
        <v>921</v>
      </c>
      <c r="K85" s="28">
        <v>200.0</v>
      </c>
      <c r="L85" s="29" t="s">
        <v>926</v>
      </c>
      <c r="M85" s="29" t="s">
        <v>6</v>
      </c>
      <c r="N85" s="27" t="s">
        <v>831</v>
      </c>
      <c r="O85" s="26" t="s">
        <v>87</v>
      </c>
      <c r="P85" s="26" t="s">
        <v>479</v>
      </c>
      <c r="Q85" s="29" t="s">
        <v>38</v>
      </c>
      <c r="R85" s="29" t="s">
        <v>43</v>
      </c>
      <c r="S85" s="24" t="s">
        <v>927</v>
      </c>
      <c r="T85" s="24" t="str">
        <f t="shared" si="1"/>
        <v>Consolidado</v>
      </c>
    </row>
    <row r="86" ht="37.5" customHeight="1">
      <c r="A86" s="24" t="s">
        <v>928</v>
      </c>
      <c r="B86" s="24" t="s">
        <v>98</v>
      </c>
      <c r="C86" s="24" t="s">
        <v>919</v>
      </c>
      <c r="D86" s="24" t="s">
        <v>929</v>
      </c>
      <c r="E86" s="24" t="s">
        <v>71</v>
      </c>
      <c r="F86" s="24" t="s">
        <v>746</v>
      </c>
      <c r="G86" s="24" t="s">
        <v>720</v>
      </c>
      <c r="H86" s="24" t="s">
        <v>721</v>
      </c>
      <c r="I86" s="24">
        <v>200.0</v>
      </c>
      <c r="J86" s="24" t="s">
        <v>921</v>
      </c>
      <c r="K86" s="28">
        <v>200.0</v>
      </c>
      <c r="L86" s="29" t="s">
        <v>930</v>
      </c>
      <c r="M86" s="29" t="s">
        <v>6</v>
      </c>
      <c r="N86" s="27" t="s">
        <v>831</v>
      </c>
      <c r="O86" s="26" t="s">
        <v>87</v>
      </c>
      <c r="P86" s="26" t="s">
        <v>485</v>
      </c>
      <c r="Q86" s="29" t="s">
        <v>38</v>
      </c>
      <c r="R86" s="29" t="s">
        <v>43</v>
      </c>
      <c r="S86" s="24" t="s">
        <v>931</v>
      </c>
      <c r="T86" s="24" t="str">
        <f t="shared" si="1"/>
        <v>Consolidado</v>
      </c>
    </row>
    <row r="87" ht="51.75" customHeight="1">
      <c r="A87" s="24" t="s">
        <v>932</v>
      </c>
      <c r="B87" s="24" t="s">
        <v>111</v>
      </c>
      <c r="C87" s="24" t="s">
        <v>933</v>
      </c>
      <c r="D87" s="24" t="s">
        <v>934</v>
      </c>
      <c r="E87" s="24" t="s">
        <v>236</v>
      </c>
      <c r="F87" s="24" t="s">
        <v>237</v>
      </c>
      <c r="G87" s="24" t="s">
        <v>74</v>
      </c>
      <c r="H87" s="24" t="s">
        <v>935</v>
      </c>
      <c r="I87" s="24">
        <v>201.0</v>
      </c>
      <c r="J87" s="24" t="s">
        <v>936</v>
      </c>
      <c r="K87" s="28">
        <v>201.0</v>
      </c>
      <c r="L87" s="29" t="s">
        <v>937</v>
      </c>
      <c r="M87" s="29" t="s">
        <v>6</v>
      </c>
      <c r="N87" s="27" t="s">
        <v>831</v>
      </c>
      <c r="O87" s="26" t="s">
        <v>87</v>
      </c>
      <c r="P87" s="26" t="s">
        <v>488</v>
      </c>
      <c r="Q87" s="29" t="s">
        <v>38</v>
      </c>
      <c r="R87" s="29" t="s">
        <v>493</v>
      </c>
      <c r="S87" s="24" t="s">
        <v>938</v>
      </c>
      <c r="T87" s="24" t="str">
        <f t="shared" si="1"/>
        <v>Consolidado</v>
      </c>
    </row>
    <row r="88" ht="51.75" customHeight="1">
      <c r="A88" s="24" t="s">
        <v>939</v>
      </c>
      <c r="B88" s="24" t="s">
        <v>111</v>
      </c>
      <c r="C88" s="24" t="s">
        <v>933</v>
      </c>
      <c r="D88" s="24" t="s">
        <v>940</v>
      </c>
      <c r="E88" s="24" t="s">
        <v>236</v>
      </c>
      <c r="F88" s="24" t="s">
        <v>566</v>
      </c>
      <c r="G88" s="24" t="s">
        <v>74</v>
      </c>
      <c r="H88" s="24" t="s">
        <v>935</v>
      </c>
      <c r="I88" s="24">
        <v>200.0</v>
      </c>
      <c r="J88" s="24" t="s">
        <v>941</v>
      </c>
      <c r="K88" s="28">
        <v>200.0</v>
      </c>
      <c r="L88" s="29" t="s">
        <v>942</v>
      </c>
      <c r="M88" s="29" t="s">
        <v>6</v>
      </c>
      <c r="N88" s="27" t="s">
        <v>943</v>
      </c>
      <c r="O88" s="26" t="s">
        <v>87</v>
      </c>
      <c r="P88" s="26" t="s">
        <v>495</v>
      </c>
      <c r="Q88" s="29" t="s">
        <v>38</v>
      </c>
      <c r="R88" s="29" t="s">
        <v>493</v>
      </c>
      <c r="S88" s="24" t="s">
        <v>944</v>
      </c>
      <c r="T88" s="24" t="str">
        <f t="shared" si="1"/>
        <v>Consolidado</v>
      </c>
    </row>
    <row r="89" ht="51.75" customHeight="1">
      <c r="A89" s="24" t="s">
        <v>945</v>
      </c>
      <c r="B89" s="24" t="s">
        <v>111</v>
      </c>
      <c r="C89" s="24" t="s">
        <v>933</v>
      </c>
      <c r="D89" s="24" t="s">
        <v>946</v>
      </c>
      <c r="E89" s="24" t="s">
        <v>71</v>
      </c>
      <c r="F89" s="24" t="s">
        <v>947</v>
      </c>
      <c r="G89" s="24" t="s">
        <v>948</v>
      </c>
      <c r="H89" s="24" t="s">
        <v>935</v>
      </c>
      <c r="I89" s="24">
        <v>200.0</v>
      </c>
      <c r="J89" s="24" t="s">
        <v>949</v>
      </c>
      <c r="K89" s="28">
        <v>200.0</v>
      </c>
      <c r="L89" s="29" t="s">
        <v>812</v>
      </c>
      <c r="M89" s="29" t="s">
        <v>6</v>
      </c>
      <c r="N89" s="27" t="s">
        <v>943</v>
      </c>
      <c r="O89" s="26" t="s">
        <v>87</v>
      </c>
      <c r="P89" s="26" t="s">
        <v>499</v>
      </c>
      <c r="Q89" s="29" t="s">
        <v>38</v>
      </c>
      <c r="R89" s="29" t="s">
        <v>493</v>
      </c>
      <c r="S89" s="24" t="s">
        <v>950</v>
      </c>
      <c r="T89" s="24" t="str">
        <f t="shared" si="1"/>
        <v>Consolidado</v>
      </c>
    </row>
    <row r="90" ht="51.75" customHeight="1">
      <c r="A90" s="24" t="s">
        <v>951</v>
      </c>
      <c r="B90" s="24" t="s">
        <v>111</v>
      </c>
      <c r="C90" s="24" t="s">
        <v>933</v>
      </c>
      <c r="D90" s="24" t="s">
        <v>952</v>
      </c>
      <c r="E90" s="24" t="s">
        <v>71</v>
      </c>
      <c r="F90" s="24" t="s">
        <v>589</v>
      </c>
      <c r="G90" s="24" t="s">
        <v>948</v>
      </c>
      <c r="H90" s="24" t="s">
        <v>935</v>
      </c>
      <c r="I90" s="24">
        <v>200.0</v>
      </c>
      <c r="J90" s="24" t="s">
        <v>953</v>
      </c>
      <c r="K90" s="28">
        <v>200.0</v>
      </c>
      <c r="L90" s="29" t="s">
        <v>954</v>
      </c>
      <c r="M90" s="29" t="s">
        <v>6</v>
      </c>
      <c r="N90" s="27" t="s">
        <v>943</v>
      </c>
      <c r="O90" s="29" t="s">
        <v>399</v>
      </c>
      <c r="P90" s="26" t="s">
        <v>504</v>
      </c>
      <c r="Q90" s="29" t="s">
        <v>38</v>
      </c>
      <c r="R90" s="29" t="s">
        <v>493</v>
      </c>
      <c r="S90" s="24" t="s">
        <v>955</v>
      </c>
      <c r="T90" s="24" t="str">
        <f t="shared" si="1"/>
        <v>Consolidado</v>
      </c>
    </row>
    <row r="91" ht="51.75" customHeight="1">
      <c r="A91" s="24" t="s">
        <v>956</v>
      </c>
      <c r="B91" s="24" t="s">
        <v>111</v>
      </c>
      <c r="C91" s="24" t="s">
        <v>933</v>
      </c>
      <c r="D91" s="24" t="s">
        <v>957</v>
      </c>
      <c r="E91" s="24" t="s">
        <v>71</v>
      </c>
      <c r="F91" s="24" t="s">
        <v>746</v>
      </c>
      <c r="G91" s="24" t="s">
        <v>948</v>
      </c>
      <c r="H91" s="24" t="s">
        <v>935</v>
      </c>
      <c r="I91" s="24">
        <v>200.0</v>
      </c>
      <c r="J91" s="24" t="s">
        <v>958</v>
      </c>
      <c r="K91" s="28">
        <v>200.0</v>
      </c>
      <c r="L91" s="29" t="s">
        <v>959</v>
      </c>
      <c r="M91" s="29" t="s">
        <v>6</v>
      </c>
      <c r="N91" s="27" t="s">
        <v>943</v>
      </c>
      <c r="O91" s="29" t="s">
        <v>399</v>
      </c>
      <c r="P91" s="26" t="s">
        <v>511</v>
      </c>
      <c r="Q91" s="29" t="s">
        <v>38</v>
      </c>
      <c r="R91" s="29" t="s">
        <v>493</v>
      </c>
      <c r="S91" s="24" t="s">
        <v>960</v>
      </c>
      <c r="T91" s="24" t="str">
        <f t="shared" si="1"/>
        <v>Consolidado</v>
      </c>
    </row>
    <row r="92" ht="51.75" customHeight="1">
      <c r="A92" s="24" t="s">
        <v>961</v>
      </c>
      <c r="B92" s="24" t="s">
        <v>111</v>
      </c>
      <c r="C92" s="24" t="s">
        <v>962</v>
      </c>
      <c r="D92" s="24" t="s">
        <v>963</v>
      </c>
      <c r="E92" s="24" t="s">
        <v>964</v>
      </c>
      <c r="F92" s="24" t="s">
        <v>965</v>
      </c>
      <c r="G92" s="24" t="s">
        <v>948</v>
      </c>
      <c r="H92" s="24" t="s">
        <v>935</v>
      </c>
      <c r="I92" s="24">
        <v>200.0</v>
      </c>
      <c r="J92" s="24" t="s">
        <v>966</v>
      </c>
      <c r="K92" s="28">
        <v>200.0</v>
      </c>
      <c r="L92" s="29" t="s">
        <v>967</v>
      </c>
      <c r="M92" s="29" t="s">
        <v>6</v>
      </c>
      <c r="N92" s="27" t="s">
        <v>968</v>
      </c>
      <c r="O92" s="29" t="s">
        <v>399</v>
      </c>
      <c r="P92" s="26" t="s">
        <v>518</v>
      </c>
      <c r="Q92" s="29" t="s">
        <v>38</v>
      </c>
      <c r="R92" s="29" t="s">
        <v>493</v>
      </c>
      <c r="S92" s="24" t="s">
        <v>969</v>
      </c>
      <c r="T92" s="24" t="str">
        <f t="shared" si="1"/>
        <v>Consolidado</v>
      </c>
    </row>
    <row r="93" ht="51.75" customHeight="1">
      <c r="A93" s="24" t="s">
        <v>970</v>
      </c>
      <c r="B93" s="24" t="s">
        <v>111</v>
      </c>
      <c r="C93" s="24" t="s">
        <v>962</v>
      </c>
      <c r="D93" s="24" t="s">
        <v>971</v>
      </c>
      <c r="E93" s="24" t="s">
        <v>964</v>
      </c>
      <c r="F93" s="24" t="s">
        <v>965</v>
      </c>
      <c r="G93" s="24" t="s">
        <v>948</v>
      </c>
      <c r="H93" s="24" t="s">
        <v>935</v>
      </c>
      <c r="I93" s="24">
        <v>400.0</v>
      </c>
      <c r="J93" s="24" t="s">
        <v>972</v>
      </c>
      <c r="K93" s="28">
        <v>400.0</v>
      </c>
      <c r="L93" s="29" t="s">
        <v>973</v>
      </c>
      <c r="M93" s="29" t="s">
        <v>6</v>
      </c>
      <c r="N93" s="27" t="s">
        <v>968</v>
      </c>
      <c r="O93" s="29" t="s">
        <v>399</v>
      </c>
      <c r="P93" s="26" t="s">
        <v>523</v>
      </c>
      <c r="Q93" s="29" t="s">
        <v>38</v>
      </c>
      <c r="R93" s="29" t="s">
        <v>493</v>
      </c>
      <c r="S93" s="24" t="s">
        <v>974</v>
      </c>
      <c r="T93" s="24" t="str">
        <f t="shared" si="1"/>
        <v>Consolidado</v>
      </c>
    </row>
    <row r="94" ht="51.75" customHeight="1">
      <c r="A94" s="24" t="s">
        <v>975</v>
      </c>
      <c r="B94" s="24" t="s">
        <v>111</v>
      </c>
      <c r="C94" s="24" t="s">
        <v>962</v>
      </c>
      <c r="D94" s="24" t="s">
        <v>976</v>
      </c>
      <c r="E94" s="24" t="s">
        <v>964</v>
      </c>
      <c r="F94" s="24" t="s">
        <v>965</v>
      </c>
      <c r="G94" s="24" t="s">
        <v>948</v>
      </c>
      <c r="H94" s="24" t="s">
        <v>935</v>
      </c>
      <c r="I94" s="24">
        <v>409.0</v>
      </c>
      <c r="J94" s="24" t="s">
        <v>977</v>
      </c>
      <c r="K94" s="28">
        <v>409.0</v>
      </c>
      <c r="L94" s="29" t="s">
        <v>978</v>
      </c>
      <c r="M94" s="29" t="s">
        <v>6</v>
      </c>
      <c r="N94" s="27" t="s">
        <v>968</v>
      </c>
      <c r="O94" s="29" t="s">
        <v>399</v>
      </c>
      <c r="P94" s="26" t="s">
        <v>529</v>
      </c>
      <c r="Q94" s="29" t="s">
        <v>38</v>
      </c>
      <c r="R94" s="29" t="s">
        <v>493</v>
      </c>
      <c r="S94" s="24" t="s">
        <v>979</v>
      </c>
      <c r="T94" s="24" t="str">
        <f t="shared" si="1"/>
        <v>Consolidado</v>
      </c>
    </row>
    <row r="95" ht="51.75" customHeight="1">
      <c r="A95" s="24" t="s">
        <v>980</v>
      </c>
      <c r="B95" s="24" t="s">
        <v>111</v>
      </c>
      <c r="C95" s="24" t="s">
        <v>962</v>
      </c>
      <c r="D95" s="24" t="s">
        <v>981</v>
      </c>
      <c r="E95" s="24" t="s">
        <v>964</v>
      </c>
      <c r="F95" s="24" t="s">
        <v>758</v>
      </c>
      <c r="G95" s="24" t="s">
        <v>948</v>
      </c>
      <c r="H95" s="24" t="s">
        <v>935</v>
      </c>
      <c r="I95" s="24">
        <v>404.0</v>
      </c>
      <c r="J95" s="24" t="s">
        <v>982</v>
      </c>
      <c r="K95" s="28">
        <v>404.0</v>
      </c>
      <c r="L95" s="29" t="s">
        <v>983</v>
      </c>
      <c r="M95" s="29" t="s">
        <v>6</v>
      </c>
      <c r="N95" s="27" t="s">
        <v>968</v>
      </c>
      <c r="O95" s="29" t="s">
        <v>399</v>
      </c>
      <c r="P95" s="26" t="s">
        <v>535</v>
      </c>
      <c r="Q95" s="29" t="s">
        <v>38</v>
      </c>
      <c r="R95" s="29" t="s">
        <v>493</v>
      </c>
      <c r="S95" s="24" t="s">
        <v>984</v>
      </c>
      <c r="T95" s="24" t="str">
        <f t="shared" si="1"/>
        <v>Consolidado</v>
      </c>
    </row>
    <row r="96" ht="51.75" customHeight="1">
      <c r="A96" s="24" t="s">
        <v>985</v>
      </c>
      <c r="B96" s="24" t="s">
        <v>111</v>
      </c>
      <c r="C96" s="24" t="s">
        <v>986</v>
      </c>
      <c r="D96" s="24" t="s">
        <v>987</v>
      </c>
      <c r="E96" s="24" t="s">
        <v>964</v>
      </c>
      <c r="F96" s="24" t="s">
        <v>988</v>
      </c>
      <c r="G96" s="24" t="s">
        <v>948</v>
      </c>
      <c r="H96" s="24" t="s">
        <v>935</v>
      </c>
      <c r="I96" s="24">
        <v>401.0</v>
      </c>
      <c r="J96" s="24" t="s">
        <v>989</v>
      </c>
      <c r="K96" s="28">
        <v>401.0</v>
      </c>
      <c r="L96" s="29" t="s">
        <v>990</v>
      </c>
      <c r="M96" s="29" t="s">
        <v>6</v>
      </c>
      <c r="N96" s="27" t="s">
        <v>968</v>
      </c>
      <c r="O96" s="29" t="s">
        <v>399</v>
      </c>
      <c r="P96" s="26" t="s">
        <v>540</v>
      </c>
      <c r="Q96" s="29" t="s">
        <v>38</v>
      </c>
      <c r="R96" s="29" t="s">
        <v>493</v>
      </c>
      <c r="S96" s="24" t="s">
        <v>991</v>
      </c>
      <c r="T96" s="24" t="str">
        <f t="shared" si="1"/>
        <v>Consolidado</v>
      </c>
    </row>
    <row r="97" ht="51.75" customHeight="1">
      <c r="A97" s="24" t="s">
        <v>992</v>
      </c>
      <c r="B97" s="24" t="s">
        <v>111</v>
      </c>
      <c r="C97" s="24" t="s">
        <v>986</v>
      </c>
      <c r="D97" s="24" t="s">
        <v>993</v>
      </c>
      <c r="E97" s="24" t="s">
        <v>964</v>
      </c>
      <c r="F97" s="24" t="s">
        <v>988</v>
      </c>
      <c r="G97" s="24" t="s">
        <v>948</v>
      </c>
      <c r="H97" s="24" t="s">
        <v>935</v>
      </c>
      <c r="I97" s="24">
        <v>400.0</v>
      </c>
      <c r="J97" s="24" t="s">
        <v>994</v>
      </c>
      <c r="K97" s="28">
        <v>400.0</v>
      </c>
      <c r="L97" s="29" t="s">
        <v>995</v>
      </c>
      <c r="M97" s="29" t="s">
        <v>6</v>
      </c>
      <c r="N97" s="27" t="s">
        <v>968</v>
      </c>
      <c r="O97" s="29" t="s">
        <v>399</v>
      </c>
      <c r="P97" s="26" t="s">
        <v>546</v>
      </c>
      <c r="Q97" s="29" t="s">
        <v>38</v>
      </c>
      <c r="R97" s="29" t="s">
        <v>493</v>
      </c>
      <c r="S97" s="24" t="s">
        <v>996</v>
      </c>
      <c r="T97" s="24" t="str">
        <f t="shared" si="1"/>
        <v>Consolidado</v>
      </c>
    </row>
    <row r="98" ht="51.75" customHeight="1">
      <c r="A98" s="24" t="s">
        <v>997</v>
      </c>
      <c r="B98" s="24" t="s">
        <v>111</v>
      </c>
      <c r="C98" s="24" t="s">
        <v>986</v>
      </c>
      <c r="D98" s="24" t="s">
        <v>998</v>
      </c>
      <c r="E98" s="24" t="s">
        <v>964</v>
      </c>
      <c r="F98" s="24" t="s">
        <v>988</v>
      </c>
      <c r="G98" s="24" t="s">
        <v>948</v>
      </c>
      <c r="H98" s="24" t="s">
        <v>935</v>
      </c>
      <c r="I98" s="24">
        <v>204.0</v>
      </c>
      <c r="J98" s="24" t="s">
        <v>999</v>
      </c>
      <c r="K98" s="28">
        <v>204.0</v>
      </c>
      <c r="L98" s="29" t="s">
        <v>1000</v>
      </c>
      <c r="M98" s="29" t="s">
        <v>6</v>
      </c>
      <c r="N98" s="27" t="s">
        <v>968</v>
      </c>
      <c r="O98" s="29" t="s">
        <v>399</v>
      </c>
      <c r="P98" s="26" t="s">
        <v>551</v>
      </c>
      <c r="Q98" s="29" t="s">
        <v>38</v>
      </c>
      <c r="R98" s="29" t="s">
        <v>493</v>
      </c>
      <c r="S98" s="24" t="s">
        <v>1001</v>
      </c>
      <c r="T98" s="24" t="str">
        <f t="shared" si="1"/>
        <v>Consolidado</v>
      </c>
    </row>
    <row r="99" ht="51.75" customHeight="1">
      <c r="A99" s="24" t="s">
        <v>1002</v>
      </c>
      <c r="B99" s="24" t="s">
        <v>111</v>
      </c>
      <c r="C99" s="24" t="s">
        <v>986</v>
      </c>
      <c r="D99" s="24" t="s">
        <v>1003</v>
      </c>
      <c r="E99" s="24" t="s">
        <v>71</v>
      </c>
      <c r="F99" s="24" t="s">
        <v>589</v>
      </c>
      <c r="G99" s="24" t="s">
        <v>1004</v>
      </c>
      <c r="H99" s="24" t="s">
        <v>1005</v>
      </c>
      <c r="I99" s="24">
        <v>401.0</v>
      </c>
      <c r="J99" s="24" t="s">
        <v>1006</v>
      </c>
      <c r="K99" s="28">
        <v>401.0</v>
      </c>
      <c r="L99" s="29" t="s">
        <v>1007</v>
      </c>
      <c r="M99" s="29" t="s">
        <v>6</v>
      </c>
      <c r="N99" s="27" t="s">
        <v>1008</v>
      </c>
      <c r="O99" s="26" t="s">
        <v>87</v>
      </c>
      <c r="P99" s="26" t="s">
        <v>554</v>
      </c>
      <c r="Q99" s="29" t="s">
        <v>38</v>
      </c>
      <c r="R99" s="29" t="s">
        <v>493</v>
      </c>
      <c r="S99" s="24" t="s">
        <v>1009</v>
      </c>
      <c r="T99" s="24" t="str">
        <f t="shared" si="1"/>
        <v>Consolidado</v>
      </c>
    </row>
    <row r="100" ht="51.75" customHeight="1">
      <c r="A100" s="24" t="s">
        <v>1010</v>
      </c>
      <c r="B100" s="24" t="s">
        <v>111</v>
      </c>
      <c r="C100" s="24" t="s">
        <v>986</v>
      </c>
      <c r="D100" s="24" t="s">
        <v>1011</v>
      </c>
      <c r="E100" s="24" t="s">
        <v>236</v>
      </c>
      <c r="F100" s="24" t="s">
        <v>566</v>
      </c>
      <c r="G100" s="24" t="s">
        <v>74</v>
      </c>
      <c r="H100" s="24" t="s">
        <v>935</v>
      </c>
      <c r="I100" s="24">
        <v>200.0</v>
      </c>
      <c r="J100" s="24" t="s">
        <v>1012</v>
      </c>
      <c r="K100" s="28">
        <v>200.0</v>
      </c>
      <c r="L100" s="29" t="s">
        <v>1013</v>
      </c>
      <c r="M100" s="29" t="s">
        <v>6</v>
      </c>
      <c r="N100" s="27" t="s">
        <v>1008</v>
      </c>
      <c r="O100" s="29" t="s">
        <v>399</v>
      </c>
      <c r="P100" s="26" t="s">
        <v>559</v>
      </c>
      <c r="Q100" s="29" t="s">
        <v>38</v>
      </c>
      <c r="R100" s="29" t="s">
        <v>493</v>
      </c>
      <c r="S100" s="24" t="s">
        <v>1014</v>
      </c>
      <c r="T100" s="24" t="str">
        <f t="shared" si="1"/>
        <v>Consolidado</v>
      </c>
    </row>
    <row r="101" ht="51.75" customHeight="1">
      <c r="A101" s="24" t="s">
        <v>1015</v>
      </c>
      <c r="B101" s="24" t="s">
        <v>111</v>
      </c>
      <c r="C101" s="24" t="s">
        <v>1016</v>
      </c>
      <c r="D101" s="24" t="s">
        <v>1017</v>
      </c>
      <c r="E101" s="24" t="s">
        <v>1018</v>
      </c>
      <c r="F101" s="24" t="s">
        <v>965</v>
      </c>
      <c r="G101" s="24" t="s">
        <v>739</v>
      </c>
      <c r="H101" s="24" t="s">
        <v>1019</v>
      </c>
      <c r="I101" s="24">
        <v>204.0</v>
      </c>
      <c r="J101" s="24" t="s">
        <v>1020</v>
      </c>
      <c r="K101" s="28">
        <v>204.0</v>
      </c>
      <c r="L101" s="29" t="s">
        <v>1021</v>
      </c>
      <c r="M101" s="29" t="s">
        <v>6</v>
      </c>
      <c r="N101" s="27" t="s">
        <v>1022</v>
      </c>
      <c r="O101" s="29" t="s">
        <v>399</v>
      </c>
      <c r="P101" s="26" t="s">
        <v>565</v>
      </c>
      <c r="Q101" s="29" t="s">
        <v>38</v>
      </c>
      <c r="R101" s="29" t="s">
        <v>493</v>
      </c>
      <c r="S101" s="24" t="s">
        <v>1023</v>
      </c>
      <c r="T101" s="24" t="str">
        <f t="shared" si="1"/>
        <v>Consolidado</v>
      </c>
    </row>
    <row r="102" ht="51.75" customHeight="1">
      <c r="A102" s="24" t="s">
        <v>1024</v>
      </c>
      <c r="B102" s="24" t="s">
        <v>111</v>
      </c>
      <c r="C102" s="24" t="s">
        <v>1016</v>
      </c>
      <c r="D102" s="24" t="s">
        <v>1025</v>
      </c>
      <c r="E102" s="24" t="s">
        <v>71</v>
      </c>
      <c r="F102" s="24" t="s">
        <v>965</v>
      </c>
      <c r="G102" s="24" t="s">
        <v>739</v>
      </c>
      <c r="H102" s="24" t="s">
        <v>1019</v>
      </c>
      <c r="I102" s="24">
        <v>200.0</v>
      </c>
      <c r="J102" s="24" t="s">
        <v>1026</v>
      </c>
      <c r="K102" s="28">
        <v>200.0</v>
      </c>
      <c r="L102" s="29" t="s">
        <v>754</v>
      </c>
      <c r="M102" s="29" t="s">
        <v>6</v>
      </c>
      <c r="N102" s="27" t="s">
        <v>1022</v>
      </c>
      <c r="O102" s="29" t="s">
        <v>399</v>
      </c>
      <c r="P102" s="26" t="s">
        <v>570</v>
      </c>
      <c r="Q102" s="29" t="s">
        <v>38</v>
      </c>
      <c r="R102" s="29" t="s">
        <v>493</v>
      </c>
      <c r="S102" s="24" t="s">
        <v>1027</v>
      </c>
      <c r="T102" s="24" t="str">
        <f t="shared" si="1"/>
        <v>Consolidado</v>
      </c>
    </row>
    <row r="103" ht="51.75" customHeight="1">
      <c r="A103" s="24" t="s">
        <v>1028</v>
      </c>
      <c r="B103" s="24" t="s">
        <v>111</v>
      </c>
      <c r="C103" s="24" t="s">
        <v>1016</v>
      </c>
      <c r="D103" s="24" t="s">
        <v>1029</v>
      </c>
      <c r="E103" s="24" t="s">
        <v>71</v>
      </c>
      <c r="F103" s="24" t="s">
        <v>947</v>
      </c>
      <c r="G103" s="24" t="s">
        <v>739</v>
      </c>
      <c r="H103" s="24" t="s">
        <v>1019</v>
      </c>
      <c r="I103" s="24">
        <v>200.0</v>
      </c>
      <c r="J103" s="24" t="s">
        <v>1030</v>
      </c>
      <c r="K103" s="28">
        <v>200.0</v>
      </c>
      <c r="L103" s="29" t="s">
        <v>1031</v>
      </c>
      <c r="M103" s="29" t="s">
        <v>6</v>
      </c>
      <c r="N103" s="27" t="s">
        <v>1022</v>
      </c>
      <c r="O103" s="29" t="s">
        <v>399</v>
      </c>
      <c r="P103" s="26" t="s">
        <v>575</v>
      </c>
      <c r="Q103" s="29" t="s">
        <v>38</v>
      </c>
      <c r="R103" s="29" t="s">
        <v>493</v>
      </c>
      <c r="S103" s="24" t="s">
        <v>1032</v>
      </c>
      <c r="T103" s="24" t="str">
        <f t="shared" si="1"/>
        <v>Consolidado</v>
      </c>
    </row>
    <row r="104" ht="51.75" customHeight="1">
      <c r="A104" s="24" t="s">
        <v>1033</v>
      </c>
      <c r="B104" s="24" t="s">
        <v>111</v>
      </c>
      <c r="C104" s="24" t="s">
        <v>1016</v>
      </c>
      <c r="D104" s="24" t="s">
        <v>1034</v>
      </c>
      <c r="E104" s="24" t="s">
        <v>71</v>
      </c>
      <c r="F104" s="24" t="s">
        <v>746</v>
      </c>
      <c r="G104" s="24" t="s">
        <v>948</v>
      </c>
      <c r="H104" s="24" t="s">
        <v>1019</v>
      </c>
      <c r="I104" s="24">
        <v>401.0</v>
      </c>
      <c r="J104" s="24" t="s">
        <v>1035</v>
      </c>
      <c r="K104" s="28">
        <v>401.0</v>
      </c>
      <c r="L104" s="29" t="s">
        <v>1036</v>
      </c>
      <c r="M104" s="29" t="s">
        <v>6</v>
      </c>
      <c r="N104" s="27" t="s">
        <v>1022</v>
      </c>
      <c r="O104" s="29" t="s">
        <v>399</v>
      </c>
      <c r="P104" s="26" t="s">
        <v>580</v>
      </c>
      <c r="Q104" s="29" t="s">
        <v>38</v>
      </c>
      <c r="R104" s="29" t="s">
        <v>493</v>
      </c>
      <c r="S104" s="24" t="s">
        <v>1037</v>
      </c>
      <c r="T104" s="24" t="str">
        <f t="shared" si="1"/>
        <v>Consolidado</v>
      </c>
    </row>
    <row r="105" ht="51.75" customHeight="1">
      <c r="A105" s="24" t="s">
        <v>1038</v>
      </c>
      <c r="B105" s="24" t="s">
        <v>111</v>
      </c>
      <c r="C105" s="24" t="s">
        <v>1016</v>
      </c>
      <c r="D105" s="24" t="s">
        <v>1039</v>
      </c>
      <c r="E105" s="24" t="s">
        <v>236</v>
      </c>
      <c r="F105" s="24" t="s">
        <v>566</v>
      </c>
      <c r="G105" s="24" t="s">
        <v>74</v>
      </c>
      <c r="H105" s="24" t="s">
        <v>1019</v>
      </c>
      <c r="I105" s="24">
        <v>401.0</v>
      </c>
      <c r="J105" s="24" t="s">
        <v>1040</v>
      </c>
      <c r="K105" s="28">
        <v>401.0</v>
      </c>
      <c r="L105" s="29" t="s">
        <v>682</v>
      </c>
      <c r="M105" s="29" t="s">
        <v>6</v>
      </c>
      <c r="N105" s="27" t="s">
        <v>1022</v>
      </c>
      <c r="O105" s="29" t="s">
        <v>399</v>
      </c>
      <c r="P105" s="26" t="s">
        <v>585</v>
      </c>
      <c r="Q105" s="29" t="s">
        <v>38</v>
      </c>
      <c r="R105" s="29" t="s">
        <v>493</v>
      </c>
      <c r="S105" s="24" t="s">
        <v>1041</v>
      </c>
      <c r="T105" s="24" t="str">
        <f t="shared" si="1"/>
        <v>Consolidado</v>
      </c>
    </row>
    <row r="106" ht="37.5" customHeight="1">
      <c r="A106" s="24" t="s">
        <v>1042</v>
      </c>
      <c r="B106" s="24" t="s">
        <v>123</v>
      </c>
      <c r="C106" s="24" t="s">
        <v>1043</v>
      </c>
      <c r="D106" s="24" t="s">
        <v>1044</v>
      </c>
      <c r="E106" s="24" t="s">
        <v>71</v>
      </c>
      <c r="F106" s="24" t="s">
        <v>1045</v>
      </c>
      <c r="G106" s="24" t="s">
        <v>591</v>
      </c>
      <c r="H106" s="24" t="s">
        <v>592</v>
      </c>
      <c r="I106" s="24">
        <v>200.0</v>
      </c>
      <c r="J106" s="24" t="s">
        <v>1046</v>
      </c>
      <c r="K106" s="28">
        <v>500.0</v>
      </c>
      <c r="L106" s="29" t="s">
        <v>1047</v>
      </c>
      <c r="M106" s="29" t="s">
        <v>15</v>
      </c>
      <c r="N106" s="27" t="s">
        <v>1022</v>
      </c>
      <c r="O106" s="29" t="s">
        <v>399</v>
      </c>
      <c r="P106" s="26" t="s">
        <v>593</v>
      </c>
      <c r="Q106" s="29" t="s">
        <v>38</v>
      </c>
      <c r="R106" s="29" t="s">
        <v>599</v>
      </c>
      <c r="S106" s="24" t="s">
        <v>1048</v>
      </c>
      <c r="T106" s="24" t="str">
        <f t="shared" si="1"/>
        <v>Corregir y repetir</v>
      </c>
    </row>
    <row r="107" ht="37.5" customHeight="1">
      <c r="A107" s="24" t="s">
        <v>1049</v>
      </c>
      <c r="B107" s="24" t="s">
        <v>123</v>
      </c>
      <c r="C107" s="24" t="s">
        <v>1043</v>
      </c>
      <c r="D107" s="24" t="s">
        <v>1050</v>
      </c>
      <c r="E107" s="24" t="s">
        <v>236</v>
      </c>
      <c r="F107" s="24" t="s">
        <v>1051</v>
      </c>
      <c r="G107" s="24" t="s">
        <v>591</v>
      </c>
      <c r="H107" s="24" t="s">
        <v>592</v>
      </c>
      <c r="I107" s="24">
        <v>200.0</v>
      </c>
      <c r="J107" s="24" t="s">
        <v>1052</v>
      </c>
      <c r="K107" s="28">
        <v>500.0</v>
      </c>
      <c r="L107" s="29" t="s">
        <v>1053</v>
      </c>
      <c r="M107" s="29" t="s">
        <v>15</v>
      </c>
      <c r="N107" s="27" t="s">
        <v>1054</v>
      </c>
      <c r="O107" s="29" t="s">
        <v>399</v>
      </c>
      <c r="P107" s="26" t="s">
        <v>600</v>
      </c>
      <c r="Q107" s="29" t="s">
        <v>38</v>
      </c>
      <c r="R107" s="29" t="s">
        <v>599</v>
      </c>
      <c r="S107" s="24" t="s">
        <v>1055</v>
      </c>
      <c r="T107" s="24" t="str">
        <f t="shared" si="1"/>
        <v>Corregir y repetir</v>
      </c>
    </row>
    <row r="108" ht="37.5" customHeight="1">
      <c r="A108" s="24" t="s">
        <v>1056</v>
      </c>
      <c r="B108" s="24" t="s">
        <v>123</v>
      </c>
      <c r="C108" s="24" t="s">
        <v>1057</v>
      </c>
      <c r="D108" s="24" t="s">
        <v>1058</v>
      </c>
      <c r="E108" s="24" t="s">
        <v>71</v>
      </c>
      <c r="F108" s="24" t="s">
        <v>1045</v>
      </c>
      <c r="G108" s="24" t="s">
        <v>591</v>
      </c>
      <c r="H108" s="24" t="s">
        <v>1059</v>
      </c>
      <c r="I108" s="24">
        <v>200.0</v>
      </c>
      <c r="J108" s="24" t="s">
        <v>1060</v>
      </c>
      <c r="K108" s="28">
        <v>500.0</v>
      </c>
      <c r="L108" s="29" t="s">
        <v>1061</v>
      </c>
      <c r="M108" s="29" t="s">
        <v>15</v>
      </c>
      <c r="N108" s="27" t="s">
        <v>1054</v>
      </c>
      <c r="O108" s="29" t="s">
        <v>399</v>
      </c>
      <c r="P108" s="26" t="s">
        <v>605</v>
      </c>
      <c r="Q108" s="29" t="s">
        <v>38</v>
      </c>
      <c r="R108" s="29" t="s">
        <v>599</v>
      </c>
      <c r="S108" s="24" t="s">
        <v>1062</v>
      </c>
      <c r="T108" s="24" t="str">
        <f t="shared" si="1"/>
        <v>Corregir y repetir</v>
      </c>
    </row>
    <row r="109" ht="51.75" customHeight="1">
      <c r="A109" s="24" t="s">
        <v>1063</v>
      </c>
      <c r="B109" s="24" t="s">
        <v>123</v>
      </c>
      <c r="C109" s="24" t="s">
        <v>1057</v>
      </c>
      <c r="D109" s="24" t="s">
        <v>1064</v>
      </c>
      <c r="E109" s="24" t="s">
        <v>236</v>
      </c>
      <c r="F109" s="24" t="s">
        <v>1065</v>
      </c>
      <c r="G109" s="24" t="s">
        <v>591</v>
      </c>
      <c r="H109" s="24" t="s">
        <v>1066</v>
      </c>
      <c r="I109" s="24">
        <v>200.0</v>
      </c>
      <c r="J109" s="24" t="s">
        <v>1067</v>
      </c>
      <c r="K109" s="28" t="s">
        <v>1068</v>
      </c>
      <c r="L109" s="29" t="s">
        <v>1069</v>
      </c>
      <c r="M109" s="29" t="s">
        <v>20</v>
      </c>
      <c r="N109" s="27" t="s">
        <v>1054</v>
      </c>
      <c r="O109" s="29" t="s">
        <v>399</v>
      </c>
      <c r="P109" s="26" t="s">
        <v>610</v>
      </c>
      <c r="Q109" s="29" t="s">
        <v>38</v>
      </c>
      <c r="R109" s="29" t="s">
        <v>616</v>
      </c>
      <c r="S109" s="24" t="s">
        <v>1070</v>
      </c>
      <c r="T109" s="24" t="str">
        <f t="shared" si="1"/>
        <v>Resolver precondición</v>
      </c>
    </row>
    <row r="110" ht="37.5" customHeight="1">
      <c r="A110" s="24" t="s">
        <v>1071</v>
      </c>
      <c r="B110" s="24" t="s">
        <v>123</v>
      </c>
      <c r="C110" s="24" t="s">
        <v>1057</v>
      </c>
      <c r="D110" s="24" t="s">
        <v>1072</v>
      </c>
      <c r="E110" s="24" t="s">
        <v>71</v>
      </c>
      <c r="F110" s="24" t="s">
        <v>1045</v>
      </c>
      <c r="G110" s="24" t="s">
        <v>591</v>
      </c>
      <c r="H110" s="24" t="s">
        <v>1073</v>
      </c>
      <c r="I110" s="24">
        <v>200.0</v>
      </c>
      <c r="J110" s="24" t="s">
        <v>1074</v>
      </c>
      <c r="K110" s="28" t="s">
        <v>1068</v>
      </c>
      <c r="L110" s="29" t="s">
        <v>1075</v>
      </c>
      <c r="M110" s="29" t="s">
        <v>20</v>
      </c>
      <c r="N110" s="27" t="s">
        <v>1054</v>
      </c>
      <c r="O110" s="29" t="s">
        <v>399</v>
      </c>
      <c r="P110" s="26" t="s">
        <v>617</v>
      </c>
      <c r="Q110" s="29" t="s">
        <v>38</v>
      </c>
      <c r="R110" s="29" t="s">
        <v>616</v>
      </c>
      <c r="S110" s="24" t="s">
        <v>1076</v>
      </c>
      <c r="T110" s="24" t="str">
        <f t="shared" si="1"/>
        <v>Resolver precondición</v>
      </c>
    </row>
    <row r="111" ht="37.5" customHeight="1">
      <c r="A111" s="24" t="s">
        <v>1077</v>
      </c>
      <c r="B111" s="24" t="s">
        <v>123</v>
      </c>
      <c r="C111" s="24" t="s">
        <v>1057</v>
      </c>
      <c r="D111" s="24" t="s">
        <v>1078</v>
      </c>
      <c r="E111" s="24" t="s">
        <v>236</v>
      </c>
      <c r="F111" s="24" t="s">
        <v>1065</v>
      </c>
      <c r="G111" s="24" t="s">
        <v>635</v>
      </c>
      <c r="H111" s="24" t="s">
        <v>1079</v>
      </c>
      <c r="I111" s="24">
        <v>401.0</v>
      </c>
      <c r="J111" s="24" t="s">
        <v>1080</v>
      </c>
      <c r="K111" s="28">
        <v>401.0</v>
      </c>
      <c r="L111" s="29" t="s">
        <v>1081</v>
      </c>
      <c r="M111" s="29" t="s">
        <v>6</v>
      </c>
      <c r="N111" s="27" t="s">
        <v>1054</v>
      </c>
      <c r="O111" s="29" t="s">
        <v>399</v>
      </c>
      <c r="P111" s="26" t="s">
        <v>623</v>
      </c>
      <c r="Q111" s="29" t="s">
        <v>38</v>
      </c>
      <c r="R111" s="29" t="s">
        <v>43</v>
      </c>
      <c r="S111" s="24" t="s">
        <v>1082</v>
      </c>
      <c r="T111" s="24" t="str">
        <f t="shared" si="1"/>
        <v>Consolidado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4D932DD-B9BB-4294-943C-510C091D96FB}" filter="1" showAutoFilter="1">
      <autoFilter ref="$A$6:$T$111"/>
    </customSheetView>
  </customSheetViews>
  <conditionalFormatting sqref="M7:M111">
    <cfRule type="expression" dxfId="8" priority="1">
      <formula>$M7="Pendiente"</formula>
    </cfRule>
  </conditionalFormatting>
  <conditionalFormatting sqref="M7:M111">
    <cfRule type="expression" dxfId="9" priority="2">
      <formula>$M7="Fallido"</formula>
    </cfRule>
  </conditionalFormatting>
  <conditionalFormatting sqref="M7:M111">
    <cfRule type="expression" dxfId="10" priority="3">
      <formula>$M7="Bloqueado"</formula>
    </cfRule>
  </conditionalFormatting>
  <conditionalFormatting sqref="M7:M111">
    <cfRule type="expression" dxfId="11" priority="4">
      <formula>$M7="Reportado aprobado"</formula>
    </cfRule>
  </conditionalFormatting>
  <dataValidations>
    <dataValidation type="list" allowBlank="1" sqref="M7:M111">
      <formula1>"Aprobado,Reportado aprobado,Pendiente,Fallido,Bloqueado"</formula1>
    </dataValidation>
    <dataValidation type="list" allowBlank="1" sqref="Q7:Q111">
      <formula1>"Captura,Respuesta en conversación,Reporte del usuario,Reporte previo,Sin evidencia,Respuesta y Tests"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A6A6"/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0.1" defaultRowHeight="15.0"/>
  <cols>
    <col customWidth="1" min="1" max="1" width="12.8"/>
    <col customWidth="1" min="2" max="2" width="34.4"/>
    <col customWidth="1" min="3" max="3" width="24.0"/>
    <col customWidth="1" min="4" max="4" width="71.2"/>
    <col customWidth="1" min="5" max="5" width="70.4"/>
    <col customWidth="1" min="6" max="6" width="76.0"/>
    <col customWidth="1" min="7" max="26" width="6.9"/>
  </cols>
  <sheetData>
    <row r="2">
      <c r="A2" s="10" t="s">
        <v>11</v>
      </c>
    </row>
    <row r="3">
      <c r="A3" s="12" t="s">
        <v>13</v>
      </c>
    </row>
    <row r="5" ht="30.0" customHeight="1">
      <c r="A5" s="15" t="s">
        <v>17</v>
      </c>
      <c r="B5" s="15" t="s">
        <v>21</v>
      </c>
      <c r="C5" s="15" t="s">
        <v>23</v>
      </c>
      <c r="D5" s="15" t="s">
        <v>25</v>
      </c>
      <c r="E5" s="15" t="s">
        <v>28</v>
      </c>
      <c r="F5" s="15" t="s">
        <v>30</v>
      </c>
    </row>
    <row r="6">
      <c r="A6" s="19" t="s">
        <v>32</v>
      </c>
      <c r="B6" s="19" t="s">
        <v>34</v>
      </c>
      <c r="C6" s="19" t="s">
        <v>38</v>
      </c>
      <c r="D6" s="21" t="s">
        <v>39</v>
      </c>
      <c r="E6" s="19" t="s">
        <v>41</v>
      </c>
      <c r="F6" s="19" t="s">
        <v>43</v>
      </c>
    </row>
    <row r="7">
      <c r="A7" s="19" t="s">
        <v>44</v>
      </c>
      <c r="B7" s="19" t="s">
        <v>48</v>
      </c>
      <c r="C7" s="19" t="s">
        <v>38</v>
      </c>
      <c r="D7" s="21" t="s">
        <v>52</v>
      </c>
      <c r="E7" s="19" t="s">
        <v>41</v>
      </c>
      <c r="F7" s="19" t="s">
        <v>43</v>
      </c>
    </row>
    <row r="8">
      <c r="A8" s="19" t="s">
        <v>56</v>
      </c>
      <c r="B8" s="19" t="s">
        <v>57</v>
      </c>
      <c r="C8" s="19" t="s">
        <v>38</v>
      </c>
      <c r="D8" s="21" t="s">
        <v>60</v>
      </c>
      <c r="E8" s="19" t="s">
        <v>41</v>
      </c>
      <c r="F8" s="19" t="s">
        <v>43</v>
      </c>
    </row>
    <row r="9">
      <c r="A9" s="19" t="s">
        <v>62</v>
      </c>
      <c r="B9" s="19" t="s">
        <v>64</v>
      </c>
      <c r="C9" s="19" t="s">
        <v>38</v>
      </c>
      <c r="D9" s="21" t="s">
        <v>66</v>
      </c>
      <c r="E9" s="19" t="s">
        <v>41</v>
      </c>
      <c r="F9" s="19" t="s">
        <v>43</v>
      </c>
    </row>
    <row r="10">
      <c r="A10" s="19" t="s">
        <v>67</v>
      </c>
      <c r="B10" s="19" t="s">
        <v>69</v>
      </c>
      <c r="C10" s="19" t="s">
        <v>38</v>
      </c>
      <c r="D10" s="21" t="s">
        <v>73</v>
      </c>
      <c r="E10" s="19" t="s">
        <v>41</v>
      </c>
      <c r="F10" s="19" t="s">
        <v>43</v>
      </c>
    </row>
    <row r="11">
      <c r="A11" s="19" t="s">
        <v>78</v>
      </c>
      <c r="B11" s="19" t="s">
        <v>80</v>
      </c>
      <c r="C11" s="19" t="s">
        <v>38</v>
      </c>
      <c r="D11" s="21" t="s">
        <v>82</v>
      </c>
      <c r="E11" s="19" t="s">
        <v>83</v>
      </c>
      <c r="F11" s="19" t="s">
        <v>43</v>
      </c>
    </row>
    <row r="12">
      <c r="A12" s="19" t="s">
        <v>84</v>
      </c>
      <c r="B12" s="19" t="s">
        <v>85</v>
      </c>
      <c r="C12" s="19" t="s">
        <v>38</v>
      </c>
      <c r="D12" s="21" t="s">
        <v>90</v>
      </c>
      <c r="E12" s="19" t="s">
        <v>83</v>
      </c>
      <c r="F12" s="19" t="s">
        <v>43</v>
      </c>
    </row>
    <row r="13">
      <c r="A13" s="19" t="s">
        <v>91</v>
      </c>
      <c r="B13" s="19" t="s">
        <v>92</v>
      </c>
      <c r="C13" s="19" t="s">
        <v>38</v>
      </c>
      <c r="D13" s="21" t="s">
        <v>94</v>
      </c>
      <c r="E13" s="19" t="s">
        <v>95</v>
      </c>
      <c r="F13" s="19" t="s">
        <v>43</v>
      </c>
    </row>
    <row r="14">
      <c r="A14" s="19" t="s">
        <v>96</v>
      </c>
      <c r="B14" s="19" t="s">
        <v>99</v>
      </c>
      <c r="C14" s="19" t="s">
        <v>38</v>
      </c>
      <c r="D14" s="21" t="s">
        <v>100</v>
      </c>
      <c r="E14" s="19" t="s">
        <v>95</v>
      </c>
      <c r="F14" s="19" t="s">
        <v>43</v>
      </c>
    </row>
    <row r="15">
      <c r="A15" s="19" t="s">
        <v>101</v>
      </c>
      <c r="B15" s="19" t="s">
        <v>103</v>
      </c>
      <c r="C15" s="19" t="s">
        <v>38</v>
      </c>
      <c r="D15" s="21" t="s">
        <v>105</v>
      </c>
      <c r="E15" s="19" t="s">
        <v>95</v>
      </c>
      <c r="F15" s="19" t="s">
        <v>43</v>
      </c>
    </row>
    <row r="16">
      <c r="A16" s="19" t="s">
        <v>107</v>
      </c>
      <c r="B16" s="19" t="s">
        <v>109</v>
      </c>
      <c r="C16" s="19" t="s">
        <v>38</v>
      </c>
      <c r="D16" s="21" t="s">
        <v>112</v>
      </c>
      <c r="E16" s="19" t="s">
        <v>95</v>
      </c>
      <c r="F16" s="19" t="s">
        <v>43</v>
      </c>
    </row>
    <row r="17">
      <c r="A17" s="19" t="s">
        <v>114</v>
      </c>
      <c r="B17" s="19" t="s">
        <v>115</v>
      </c>
      <c r="C17" s="19" t="s">
        <v>38</v>
      </c>
      <c r="D17" s="21" t="s">
        <v>116</v>
      </c>
      <c r="E17" s="19" t="s">
        <v>95</v>
      </c>
      <c r="F17" s="19" t="s">
        <v>43</v>
      </c>
    </row>
    <row r="18">
      <c r="A18" s="19" t="s">
        <v>117</v>
      </c>
      <c r="B18" s="19" t="s">
        <v>119</v>
      </c>
      <c r="C18" s="19" t="s">
        <v>38</v>
      </c>
      <c r="D18" s="21" t="s">
        <v>120</v>
      </c>
      <c r="E18" s="19" t="s">
        <v>95</v>
      </c>
      <c r="F18" s="19" t="s">
        <v>43</v>
      </c>
    </row>
    <row r="19">
      <c r="A19" s="19" t="s">
        <v>124</v>
      </c>
      <c r="B19" s="19" t="s">
        <v>126</v>
      </c>
      <c r="C19" s="19" t="s">
        <v>38</v>
      </c>
      <c r="D19" s="21" t="s">
        <v>128</v>
      </c>
      <c r="E19" s="19" t="s">
        <v>129</v>
      </c>
      <c r="F19" s="19" t="s">
        <v>130</v>
      </c>
    </row>
    <row r="20">
      <c r="A20" s="19" t="s">
        <v>131</v>
      </c>
      <c r="B20" s="19" t="s">
        <v>133</v>
      </c>
      <c r="C20" s="19" t="s">
        <v>38</v>
      </c>
      <c r="D20" s="21" t="s">
        <v>135</v>
      </c>
      <c r="E20" s="19" t="s">
        <v>136</v>
      </c>
      <c r="F20" s="19" t="s">
        <v>43</v>
      </c>
    </row>
    <row r="21">
      <c r="A21" s="19" t="s">
        <v>137</v>
      </c>
      <c r="B21" s="19" t="s">
        <v>138</v>
      </c>
      <c r="C21" s="19" t="s">
        <v>38</v>
      </c>
      <c r="D21" s="21" t="s">
        <v>141</v>
      </c>
      <c r="E21" s="19" t="s">
        <v>136</v>
      </c>
      <c r="F21" s="19" t="s">
        <v>43</v>
      </c>
    </row>
    <row r="22">
      <c r="A22" s="19" t="s">
        <v>145</v>
      </c>
      <c r="B22" s="19" t="s">
        <v>146</v>
      </c>
      <c r="C22" s="19" t="s">
        <v>38</v>
      </c>
      <c r="D22" s="21" t="s">
        <v>148</v>
      </c>
      <c r="E22" s="19" t="s">
        <v>149</v>
      </c>
      <c r="F22" s="19" t="s">
        <v>130</v>
      </c>
    </row>
    <row r="23">
      <c r="A23" s="19" t="s">
        <v>153</v>
      </c>
      <c r="B23" s="19" t="s">
        <v>154</v>
      </c>
      <c r="C23" s="19" t="s">
        <v>38</v>
      </c>
      <c r="D23" s="21" t="s">
        <v>157</v>
      </c>
      <c r="E23" s="19" t="s">
        <v>160</v>
      </c>
      <c r="F23" s="19" t="s">
        <v>43</v>
      </c>
    </row>
    <row r="24">
      <c r="A24" s="19" t="s">
        <v>161</v>
      </c>
      <c r="B24" s="19" t="s">
        <v>164</v>
      </c>
      <c r="C24" s="19" t="s">
        <v>38</v>
      </c>
      <c r="D24" s="21" t="s">
        <v>166</v>
      </c>
      <c r="E24" s="19" t="s">
        <v>160</v>
      </c>
      <c r="F24" s="19" t="s">
        <v>43</v>
      </c>
    </row>
    <row r="25">
      <c r="A25" s="19" t="s">
        <v>168</v>
      </c>
      <c r="B25" s="19" t="s">
        <v>169</v>
      </c>
      <c r="C25" s="19" t="s">
        <v>38</v>
      </c>
      <c r="D25" s="21" t="s">
        <v>171</v>
      </c>
      <c r="E25" s="19" t="s">
        <v>160</v>
      </c>
      <c r="F25" s="19" t="s">
        <v>43</v>
      </c>
    </row>
    <row r="26">
      <c r="A26" s="19" t="s">
        <v>173</v>
      </c>
      <c r="B26" s="19" t="s">
        <v>174</v>
      </c>
      <c r="C26" s="19" t="s">
        <v>38</v>
      </c>
      <c r="D26" s="21" t="s">
        <v>177</v>
      </c>
      <c r="E26" s="19" t="s">
        <v>160</v>
      </c>
      <c r="F26" s="19" t="s">
        <v>43</v>
      </c>
    </row>
    <row r="27">
      <c r="A27" s="19" t="s">
        <v>179</v>
      </c>
      <c r="B27" s="19" t="s">
        <v>181</v>
      </c>
      <c r="C27" s="19" t="s">
        <v>38</v>
      </c>
      <c r="D27" s="19" t="s">
        <v>183</v>
      </c>
      <c r="E27" s="19" t="s">
        <v>160</v>
      </c>
      <c r="F27" s="19" t="s">
        <v>43</v>
      </c>
    </row>
    <row r="28">
      <c r="A28" s="21" t="s">
        <v>184</v>
      </c>
      <c r="B28" s="19" t="s">
        <v>185</v>
      </c>
      <c r="C28" s="19" t="s">
        <v>38</v>
      </c>
      <c r="D28" s="21" t="s">
        <v>186</v>
      </c>
      <c r="E28" s="19" t="s">
        <v>160</v>
      </c>
      <c r="F28" s="19" t="s">
        <v>43</v>
      </c>
    </row>
    <row r="29">
      <c r="A29" s="21" t="s">
        <v>188</v>
      </c>
      <c r="B29" s="19" t="s">
        <v>189</v>
      </c>
      <c r="C29" s="19" t="s">
        <v>38</v>
      </c>
      <c r="D29" s="21" t="s">
        <v>191</v>
      </c>
      <c r="E29" s="19" t="s">
        <v>160</v>
      </c>
      <c r="F29" s="19" t="s">
        <v>43</v>
      </c>
    </row>
    <row r="30">
      <c r="A30" s="21" t="s">
        <v>193</v>
      </c>
      <c r="B30" s="19" t="s">
        <v>194</v>
      </c>
      <c r="C30" s="19" t="s">
        <v>38</v>
      </c>
      <c r="D30" s="21" t="s">
        <v>196</v>
      </c>
      <c r="E30" s="19" t="s">
        <v>197</v>
      </c>
      <c r="F30" s="19" t="s">
        <v>198</v>
      </c>
    </row>
    <row r="31">
      <c r="A31" s="21" t="s">
        <v>200</v>
      </c>
      <c r="B31" s="19" t="s">
        <v>202</v>
      </c>
      <c r="C31" s="19" t="s">
        <v>38</v>
      </c>
      <c r="D31" s="21" t="s">
        <v>203</v>
      </c>
      <c r="E31" s="19" t="s">
        <v>204</v>
      </c>
      <c r="F31" s="19" t="s">
        <v>198</v>
      </c>
    </row>
    <row r="32">
      <c r="A32" s="21" t="s">
        <v>205</v>
      </c>
      <c r="B32" s="19" t="s">
        <v>206</v>
      </c>
      <c r="C32" s="19" t="s">
        <v>38</v>
      </c>
      <c r="D32" s="21" t="s">
        <v>208</v>
      </c>
      <c r="E32" s="19" t="s">
        <v>209</v>
      </c>
      <c r="F32" s="19" t="s">
        <v>43</v>
      </c>
    </row>
    <row r="33">
      <c r="A33" s="21" t="s">
        <v>211</v>
      </c>
      <c r="B33" s="19" t="s">
        <v>212</v>
      </c>
      <c r="C33" s="19" t="s">
        <v>38</v>
      </c>
      <c r="D33" s="21" t="s">
        <v>214</v>
      </c>
      <c r="E33" s="19" t="s">
        <v>215</v>
      </c>
      <c r="F33" s="19" t="s">
        <v>43</v>
      </c>
    </row>
    <row r="34">
      <c r="A34" s="21" t="s">
        <v>217</v>
      </c>
      <c r="B34" s="19" t="s">
        <v>218</v>
      </c>
      <c r="C34" s="19" t="s">
        <v>38</v>
      </c>
      <c r="D34" s="21" t="s">
        <v>220</v>
      </c>
      <c r="E34" s="19" t="s">
        <v>221</v>
      </c>
      <c r="F34" s="19" t="s">
        <v>43</v>
      </c>
    </row>
    <row r="35">
      <c r="A35" s="21" t="s">
        <v>222</v>
      </c>
      <c r="B35" s="19" t="s">
        <v>223</v>
      </c>
      <c r="C35" s="19" t="s">
        <v>38</v>
      </c>
      <c r="D35" s="21" t="s">
        <v>224</v>
      </c>
      <c r="E35" s="19" t="s">
        <v>225</v>
      </c>
      <c r="F35" s="19" t="s">
        <v>43</v>
      </c>
    </row>
    <row r="36">
      <c r="A36" s="21" t="s">
        <v>226</v>
      </c>
      <c r="B36" s="19" t="s">
        <v>227</v>
      </c>
      <c r="C36" s="19" t="s">
        <v>38</v>
      </c>
      <c r="D36" s="21" t="s">
        <v>228</v>
      </c>
      <c r="E36" s="19" t="s">
        <v>225</v>
      </c>
      <c r="F36" s="19" t="s">
        <v>43</v>
      </c>
    </row>
    <row r="37">
      <c r="A37" s="21" t="s">
        <v>230</v>
      </c>
      <c r="B37" s="19" t="s">
        <v>231</v>
      </c>
      <c r="C37" s="19" t="s">
        <v>38</v>
      </c>
      <c r="D37" s="21" t="s">
        <v>233</v>
      </c>
      <c r="E37" s="19" t="s">
        <v>225</v>
      </c>
      <c r="F37" s="19" t="s">
        <v>43</v>
      </c>
    </row>
    <row r="38">
      <c r="A38" s="21" t="s">
        <v>238</v>
      </c>
      <c r="B38" s="19" t="s">
        <v>239</v>
      </c>
      <c r="C38" s="19" t="s">
        <v>38</v>
      </c>
      <c r="D38" s="21" t="s">
        <v>240</v>
      </c>
      <c r="E38" s="19" t="s">
        <v>225</v>
      </c>
      <c r="F38" s="19" t="s">
        <v>43</v>
      </c>
    </row>
    <row r="39">
      <c r="A39" s="30" t="s">
        <v>243</v>
      </c>
      <c r="B39" s="31" t="s">
        <v>244</v>
      </c>
      <c r="C39" s="31" t="s">
        <v>38</v>
      </c>
      <c r="D39" s="30" t="s">
        <v>245</v>
      </c>
      <c r="E39" s="31" t="s">
        <v>221</v>
      </c>
      <c r="F39" s="31" t="s">
        <v>43</v>
      </c>
    </row>
    <row r="40">
      <c r="A40" s="30" t="s">
        <v>246</v>
      </c>
      <c r="B40" s="31" t="s">
        <v>247</v>
      </c>
      <c r="C40" s="31" t="s">
        <v>38</v>
      </c>
      <c r="D40" s="31" t="s">
        <v>249</v>
      </c>
      <c r="E40" s="31" t="s">
        <v>221</v>
      </c>
      <c r="F40" s="31" t="s">
        <v>250</v>
      </c>
    </row>
    <row r="41">
      <c r="A41" s="30" t="s">
        <v>252</v>
      </c>
      <c r="B41" s="31" t="s">
        <v>253</v>
      </c>
      <c r="C41" s="31" t="s">
        <v>38</v>
      </c>
      <c r="D41" s="31" t="s">
        <v>255</v>
      </c>
      <c r="E41" s="31" t="s">
        <v>209</v>
      </c>
      <c r="F41" s="31" t="s">
        <v>250</v>
      </c>
    </row>
    <row r="42">
      <c r="A42" s="21" t="s">
        <v>256</v>
      </c>
      <c r="B42" s="19" t="s">
        <v>257</v>
      </c>
      <c r="C42" s="19" t="s">
        <v>38</v>
      </c>
      <c r="D42" s="21" t="s">
        <v>260</v>
      </c>
      <c r="E42" s="19" t="s">
        <v>225</v>
      </c>
      <c r="F42" s="19" t="s">
        <v>250</v>
      </c>
    </row>
    <row r="43">
      <c r="A43" s="30" t="s">
        <v>261</v>
      </c>
      <c r="B43" s="31" t="s">
        <v>262</v>
      </c>
      <c r="C43" s="31" t="s">
        <v>38</v>
      </c>
      <c r="D43" s="31" t="s">
        <v>263</v>
      </c>
      <c r="E43" s="31" t="s">
        <v>225</v>
      </c>
      <c r="F43" s="31" t="s">
        <v>250</v>
      </c>
    </row>
    <row r="44">
      <c r="A44" s="30" t="s">
        <v>265</v>
      </c>
      <c r="B44" s="31" t="s">
        <v>267</v>
      </c>
      <c r="C44" s="31" t="s">
        <v>38</v>
      </c>
      <c r="D44" s="31" t="s">
        <v>269</v>
      </c>
      <c r="E44" s="31" t="s">
        <v>225</v>
      </c>
      <c r="F44" s="31" t="s">
        <v>250</v>
      </c>
    </row>
    <row r="45">
      <c r="A45" s="30" t="s">
        <v>271</v>
      </c>
      <c r="B45" s="31" t="s">
        <v>273</v>
      </c>
      <c r="C45" s="31" t="s">
        <v>38</v>
      </c>
      <c r="D45" s="31" t="s">
        <v>274</v>
      </c>
      <c r="E45" s="31" t="s">
        <v>275</v>
      </c>
      <c r="F45" s="31" t="s">
        <v>43</v>
      </c>
    </row>
    <row r="46">
      <c r="A46" s="30" t="s">
        <v>276</v>
      </c>
      <c r="B46" s="31" t="s">
        <v>277</v>
      </c>
      <c r="C46" s="31" t="s">
        <v>38</v>
      </c>
      <c r="D46" s="31" t="s">
        <v>279</v>
      </c>
      <c r="E46" s="31" t="s">
        <v>280</v>
      </c>
      <c r="F46" s="31" t="s">
        <v>43</v>
      </c>
    </row>
    <row r="47">
      <c r="A47" s="30" t="s">
        <v>281</v>
      </c>
      <c r="B47" s="31" t="s">
        <v>283</v>
      </c>
      <c r="C47" s="31" t="s">
        <v>38</v>
      </c>
      <c r="D47" s="31" t="s">
        <v>284</v>
      </c>
      <c r="E47" s="31" t="s">
        <v>275</v>
      </c>
      <c r="F47" s="31" t="s">
        <v>43</v>
      </c>
    </row>
    <row r="48">
      <c r="A48" s="30" t="s">
        <v>286</v>
      </c>
      <c r="B48" s="31" t="s">
        <v>287</v>
      </c>
      <c r="C48" s="31" t="s">
        <v>38</v>
      </c>
      <c r="D48" s="31" t="s">
        <v>288</v>
      </c>
      <c r="E48" s="31" t="s">
        <v>280</v>
      </c>
      <c r="F48" s="31" t="s">
        <v>43</v>
      </c>
    </row>
    <row r="49">
      <c r="A49" s="30" t="s">
        <v>290</v>
      </c>
      <c r="B49" s="31" t="s">
        <v>292</v>
      </c>
      <c r="C49" s="31" t="s">
        <v>38</v>
      </c>
      <c r="D49" s="31" t="s">
        <v>293</v>
      </c>
      <c r="E49" s="31" t="s">
        <v>275</v>
      </c>
      <c r="F49" s="31" t="s">
        <v>43</v>
      </c>
    </row>
    <row r="50">
      <c r="A50" s="30" t="s">
        <v>294</v>
      </c>
      <c r="B50" s="31" t="s">
        <v>295</v>
      </c>
      <c r="C50" s="31" t="s">
        <v>38</v>
      </c>
      <c r="D50" s="31" t="s">
        <v>296</v>
      </c>
      <c r="E50" s="31" t="s">
        <v>280</v>
      </c>
      <c r="F50" s="31" t="s">
        <v>43</v>
      </c>
    </row>
    <row r="51">
      <c r="A51" s="30" t="s">
        <v>298</v>
      </c>
      <c r="B51" s="31" t="s">
        <v>300</v>
      </c>
      <c r="C51" s="31" t="s">
        <v>38</v>
      </c>
      <c r="D51" s="31" t="s">
        <v>302</v>
      </c>
      <c r="E51" s="31" t="s">
        <v>303</v>
      </c>
      <c r="F51" s="31" t="s">
        <v>43</v>
      </c>
    </row>
    <row r="52">
      <c r="A52" s="30" t="s">
        <v>304</v>
      </c>
      <c r="B52" s="31" t="s">
        <v>305</v>
      </c>
      <c r="C52" s="31" t="s">
        <v>38</v>
      </c>
      <c r="D52" s="31" t="s">
        <v>307</v>
      </c>
      <c r="E52" s="31" t="s">
        <v>275</v>
      </c>
      <c r="F52" s="31" t="s">
        <v>43</v>
      </c>
    </row>
    <row r="53">
      <c r="A53" s="30" t="s">
        <v>309</v>
      </c>
      <c r="B53" s="31" t="s">
        <v>310</v>
      </c>
      <c r="C53" s="31" t="s">
        <v>38</v>
      </c>
      <c r="D53" s="31" t="s">
        <v>311</v>
      </c>
      <c r="E53" s="31" t="s">
        <v>312</v>
      </c>
      <c r="F53" s="31" t="s">
        <v>43</v>
      </c>
    </row>
    <row r="54">
      <c r="A54" s="30" t="s">
        <v>314</v>
      </c>
      <c r="B54" s="31" t="s">
        <v>315</v>
      </c>
      <c r="C54" s="31" t="s">
        <v>38</v>
      </c>
      <c r="D54" s="31" t="s">
        <v>317</v>
      </c>
      <c r="E54" s="31" t="s">
        <v>318</v>
      </c>
      <c r="F54" s="31" t="s">
        <v>43</v>
      </c>
    </row>
    <row r="55">
      <c r="A55" s="30" t="s">
        <v>320</v>
      </c>
      <c r="B55" s="31" t="s">
        <v>321</v>
      </c>
      <c r="C55" s="31" t="s">
        <v>38</v>
      </c>
      <c r="D55" s="31" t="s">
        <v>322</v>
      </c>
      <c r="E55" s="31" t="s">
        <v>323</v>
      </c>
      <c r="F55" s="31" t="s">
        <v>43</v>
      </c>
    </row>
    <row r="56">
      <c r="A56" s="30" t="s">
        <v>325</v>
      </c>
      <c r="B56" s="31" t="s">
        <v>326</v>
      </c>
      <c r="C56" s="31" t="s">
        <v>38</v>
      </c>
      <c r="D56" s="31" t="s">
        <v>322</v>
      </c>
      <c r="E56" s="31" t="s">
        <v>328</v>
      </c>
      <c r="F56" s="31" t="s">
        <v>43</v>
      </c>
    </row>
    <row r="57">
      <c r="A57" s="30" t="s">
        <v>330</v>
      </c>
      <c r="B57" s="31" t="s">
        <v>331</v>
      </c>
      <c r="C57" s="31" t="s">
        <v>38</v>
      </c>
      <c r="D57" s="31" t="s">
        <v>332</v>
      </c>
      <c r="E57" s="31" t="s">
        <v>333</v>
      </c>
      <c r="F57" s="31" t="s">
        <v>43</v>
      </c>
    </row>
    <row r="58">
      <c r="A58" s="30" t="s">
        <v>335</v>
      </c>
      <c r="B58" s="31" t="s">
        <v>336</v>
      </c>
      <c r="C58" s="31" t="s">
        <v>38</v>
      </c>
      <c r="D58" s="31" t="s">
        <v>337</v>
      </c>
      <c r="E58" s="31" t="s">
        <v>339</v>
      </c>
      <c r="F58" s="31" t="s">
        <v>43</v>
      </c>
    </row>
    <row r="59">
      <c r="A59" s="30" t="s">
        <v>342</v>
      </c>
      <c r="B59" s="31" t="s">
        <v>343</v>
      </c>
      <c r="C59" s="31" t="s">
        <v>38</v>
      </c>
      <c r="D59" s="31" t="s">
        <v>344</v>
      </c>
      <c r="E59" s="31" t="s">
        <v>345</v>
      </c>
      <c r="F59" s="31" t="s">
        <v>43</v>
      </c>
    </row>
    <row r="60">
      <c r="A60" s="30" t="s">
        <v>347</v>
      </c>
      <c r="B60" s="31" t="s">
        <v>349</v>
      </c>
      <c r="C60" s="31" t="s">
        <v>38</v>
      </c>
      <c r="D60" s="31" t="s">
        <v>351</v>
      </c>
      <c r="E60" s="31" t="s">
        <v>352</v>
      </c>
      <c r="F60" s="31" t="s">
        <v>43</v>
      </c>
    </row>
    <row r="61">
      <c r="A61" s="30" t="s">
        <v>353</v>
      </c>
      <c r="B61" s="31" t="s">
        <v>354</v>
      </c>
      <c r="C61" s="31" t="s">
        <v>38</v>
      </c>
      <c r="D61" s="31" t="s">
        <v>355</v>
      </c>
      <c r="E61" s="31" t="s">
        <v>356</v>
      </c>
      <c r="F61" s="31" t="s">
        <v>43</v>
      </c>
    </row>
    <row r="62">
      <c r="A62" s="30" t="s">
        <v>358</v>
      </c>
      <c r="B62" s="31" t="s">
        <v>359</v>
      </c>
      <c r="C62" s="31" t="s">
        <v>38</v>
      </c>
      <c r="D62" s="31" t="s">
        <v>361</v>
      </c>
      <c r="E62" s="31" t="s">
        <v>362</v>
      </c>
      <c r="F62" s="31" t="s">
        <v>43</v>
      </c>
    </row>
    <row r="63">
      <c r="A63" s="30" t="s">
        <v>364</v>
      </c>
      <c r="B63" s="31" t="s">
        <v>365</v>
      </c>
      <c r="C63" s="31" t="s">
        <v>38</v>
      </c>
      <c r="D63" s="31" t="s">
        <v>366</v>
      </c>
      <c r="E63" s="31" t="s">
        <v>367</v>
      </c>
      <c r="F63" s="31" t="s">
        <v>43</v>
      </c>
    </row>
    <row r="64">
      <c r="A64" s="30" t="s">
        <v>369</v>
      </c>
      <c r="B64" s="31" t="s">
        <v>370</v>
      </c>
      <c r="C64" s="31" t="s">
        <v>38</v>
      </c>
      <c r="D64" s="31" t="s">
        <v>322</v>
      </c>
      <c r="E64" s="31" t="s">
        <v>373</v>
      </c>
      <c r="F64" s="31" t="s">
        <v>43</v>
      </c>
    </row>
    <row r="65">
      <c r="A65" s="30" t="s">
        <v>375</v>
      </c>
      <c r="B65" s="31" t="s">
        <v>376</v>
      </c>
      <c r="C65" s="31" t="s">
        <v>38</v>
      </c>
      <c r="D65" s="31" t="s">
        <v>322</v>
      </c>
      <c r="E65" s="31" t="s">
        <v>378</v>
      </c>
      <c r="F65" s="31" t="s">
        <v>43</v>
      </c>
    </row>
    <row r="66">
      <c r="A66" s="30" t="s">
        <v>379</v>
      </c>
      <c r="B66" s="31" t="s">
        <v>380</v>
      </c>
      <c r="C66" s="31" t="s">
        <v>38</v>
      </c>
      <c r="D66" s="31" t="s">
        <v>382</v>
      </c>
      <c r="E66" s="31" t="s">
        <v>383</v>
      </c>
      <c r="F66" s="31" t="s">
        <v>43</v>
      </c>
    </row>
    <row r="67">
      <c r="A67" s="30" t="s">
        <v>384</v>
      </c>
      <c r="B67" s="31" t="s">
        <v>385</v>
      </c>
      <c r="C67" s="31" t="s">
        <v>38</v>
      </c>
      <c r="D67" s="31" t="s">
        <v>387</v>
      </c>
      <c r="E67" s="31" t="s">
        <v>389</v>
      </c>
      <c r="F67" s="31" t="s">
        <v>43</v>
      </c>
    </row>
    <row r="68">
      <c r="A68" s="30" t="s">
        <v>391</v>
      </c>
      <c r="B68" s="31" t="s">
        <v>392</v>
      </c>
      <c r="C68" s="31" t="s">
        <v>38</v>
      </c>
      <c r="D68" s="31" t="s">
        <v>366</v>
      </c>
      <c r="E68" s="31" t="s">
        <v>393</v>
      </c>
      <c r="F68" s="31" t="s">
        <v>43</v>
      </c>
    </row>
    <row r="69">
      <c r="A69" s="30" t="s">
        <v>395</v>
      </c>
      <c r="B69" s="31" t="s">
        <v>396</v>
      </c>
      <c r="C69" s="31" t="s">
        <v>38</v>
      </c>
      <c r="D69" s="31" t="s">
        <v>398</v>
      </c>
      <c r="E69" s="31" t="s">
        <v>400</v>
      </c>
      <c r="F69" s="31" t="s">
        <v>43</v>
      </c>
    </row>
    <row r="70">
      <c r="A70" s="30" t="s">
        <v>401</v>
      </c>
      <c r="B70" s="31" t="s">
        <v>402</v>
      </c>
      <c r="C70" s="31" t="s">
        <v>38</v>
      </c>
      <c r="D70" s="31" t="s">
        <v>405</v>
      </c>
      <c r="E70" s="31" t="s">
        <v>406</v>
      </c>
      <c r="F70" s="31" t="s">
        <v>43</v>
      </c>
    </row>
    <row r="71">
      <c r="A71" s="30" t="s">
        <v>408</v>
      </c>
      <c r="B71" s="31" t="s">
        <v>409</v>
      </c>
      <c r="C71" s="31" t="s">
        <v>38</v>
      </c>
      <c r="D71" s="31" t="s">
        <v>410</v>
      </c>
      <c r="E71" s="31" t="s">
        <v>412</v>
      </c>
      <c r="F71" s="31" t="s">
        <v>43</v>
      </c>
    </row>
    <row r="72">
      <c r="A72" s="30" t="s">
        <v>414</v>
      </c>
      <c r="B72" s="31" t="s">
        <v>415</v>
      </c>
      <c r="C72" s="31" t="s">
        <v>38</v>
      </c>
      <c r="D72" s="31" t="s">
        <v>417</v>
      </c>
      <c r="E72" s="31" t="s">
        <v>418</v>
      </c>
      <c r="F72" s="31" t="s">
        <v>43</v>
      </c>
    </row>
    <row r="73">
      <c r="A73" s="30" t="s">
        <v>420</v>
      </c>
      <c r="B73" s="31" t="s">
        <v>421</v>
      </c>
      <c r="C73" s="31" t="s">
        <v>38</v>
      </c>
      <c r="D73" s="31" t="s">
        <v>423</v>
      </c>
      <c r="E73" s="31" t="s">
        <v>424</v>
      </c>
      <c r="F73" s="31" t="s">
        <v>43</v>
      </c>
    </row>
    <row r="74">
      <c r="A74" s="30" t="s">
        <v>426</v>
      </c>
      <c r="B74" s="31" t="s">
        <v>427</v>
      </c>
      <c r="C74" s="31" t="s">
        <v>38</v>
      </c>
      <c r="D74" s="31" t="s">
        <v>428</v>
      </c>
      <c r="E74" s="31" t="s">
        <v>429</v>
      </c>
      <c r="F74" s="31" t="s">
        <v>43</v>
      </c>
    </row>
    <row r="75">
      <c r="A75" s="30" t="s">
        <v>431</v>
      </c>
      <c r="B75" s="31" t="s">
        <v>432</v>
      </c>
      <c r="C75" s="31" t="s">
        <v>38</v>
      </c>
      <c r="D75" s="31" t="s">
        <v>434</v>
      </c>
      <c r="E75" s="31" t="s">
        <v>435</v>
      </c>
      <c r="F75" s="31" t="s">
        <v>43</v>
      </c>
    </row>
    <row r="76">
      <c r="A76" s="30" t="s">
        <v>436</v>
      </c>
      <c r="B76" s="31" t="s">
        <v>437</v>
      </c>
      <c r="C76" s="31" t="s">
        <v>38</v>
      </c>
      <c r="D76" s="31" t="s">
        <v>438</v>
      </c>
      <c r="E76" s="31" t="s">
        <v>435</v>
      </c>
      <c r="F76" s="31" t="s">
        <v>43</v>
      </c>
    </row>
    <row r="77">
      <c r="A77" s="30" t="s">
        <v>440</v>
      </c>
      <c r="B77" s="31" t="s">
        <v>442</v>
      </c>
      <c r="C77" s="31" t="s">
        <v>38</v>
      </c>
      <c r="D77" s="31" t="s">
        <v>444</v>
      </c>
      <c r="E77" s="31" t="s">
        <v>445</v>
      </c>
      <c r="F77" s="31" t="s">
        <v>43</v>
      </c>
    </row>
    <row r="78">
      <c r="A78" s="30" t="s">
        <v>446</v>
      </c>
      <c r="B78" s="31" t="s">
        <v>447</v>
      </c>
      <c r="C78" s="31" t="s">
        <v>38</v>
      </c>
      <c r="D78" s="31" t="s">
        <v>449</v>
      </c>
      <c r="E78" s="31" t="s">
        <v>451</v>
      </c>
      <c r="F78" s="31" t="s">
        <v>43</v>
      </c>
    </row>
    <row r="79">
      <c r="A79" s="30" t="s">
        <v>452</v>
      </c>
      <c r="B79" s="31" t="s">
        <v>453</v>
      </c>
      <c r="C79" s="31" t="s">
        <v>38</v>
      </c>
      <c r="D79" s="31" t="s">
        <v>454</v>
      </c>
      <c r="E79" s="31" t="s">
        <v>456</v>
      </c>
      <c r="F79" s="31" t="s">
        <v>43</v>
      </c>
    </row>
    <row r="80" ht="15.75" customHeight="1">
      <c r="A80" s="19" t="s">
        <v>457</v>
      </c>
      <c r="B80" s="19" t="s">
        <v>458</v>
      </c>
      <c r="C80" s="19" t="s">
        <v>38</v>
      </c>
      <c r="D80" s="21" t="s">
        <v>460</v>
      </c>
      <c r="E80" s="19" t="s">
        <v>461</v>
      </c>
      <c r="F80" s="19" t="s">
        <v>43</v>
      </c>
    </row>
    <row r="81" ht="15.75" customHeight="1">
      <c r="A81" s="19" t="s">
        <v>463</v>
      </c>
      <c r="B81" s="19" t="s">
        <v>464</v>
      </c>
      <c r="C81" s="19" t="s">
        <v>38</v>
      </c>
      <c r="D81" s="21" t="s">
        <v>465</v>
      </c>
      <c r="E81" s="19" t="s">
        <v>466</v>
      </c>
      <c r="F81" s="19" t="s">
        <v>43</v>
      </c>
    </row>
    <row r="82" ht="15.75" customHeight="1">
      <c r="A82" s="19" t="s">
        <v>468</v>
      </c>
      <c r="B82" s="19" t="s">
        <v>469</v>
      </c>
      <c r="C82" s="19" t="s">
        <v>38</v>
      </c>
      <c r="D82" s="21" t="s">
        <v>471</v>
      </c>
      <c r="E82" s="19" t="s">
        <v>472</v>
      </c>
      <c r="F82" s="19" t="s">
        <v>43</v>
      </c>
    </row>
    <row r="83" ht="15.75" customHeight="1">
      <c r="A83" s="19" t="s">
        <v>473</v>
      </c>
      <c r="B83" s="19" t="s">
        <v>474</v>
      </c>
      <c r="C83" s="19" t="s">
        <v>38</v>
      </c>
      <c r="D83" s="21" t="s">
        <v>476</v>
      </c>
      <c r="E83" s="19" t="s">
        <v>477</v>
      </c>
      <c r="F83" s="19" t="s">
        <v>43</v>
      </c>
    </row>
    <row r="84" ht="15.75" customHeight="1">
      <c r="A84" s="19" t="s">
        <v>479</v>
      </c>
      <c r="B84" s="19" t="s">
        <v>481</v>
      </c>
      <c r="C84" s="19" t="s">
        <v>38</v>
      </c>
      <c r="D84" s="21" t="s">
        <v>482</v>
      </c>
      <c r="E84" s="19" t="s">
        <v>477</v>
      </c>
      <c r="F84" s="19" t="s">
        <v>43</v>
      </c>
    </row>
    <row r="85" ht="15.75" customHeight="1">
      <c r="A85" s="19" t="s">
        <v>485</v>
      </c>
      <c r="B85" s="19" t="s">
        <v>486</v>
      </c>
      <c r="C85" s="19" t="s">
        <v>38</v>
      </c>
      <c r="D85" s="21" t="s">
        <v>487</v>
      </c>
      <c r="E85" s="19" t="s">
        <v>477</v>
      </c>
      <c r="F85" s="19" t="s">
        <v>43</v>
      </c>
    </row>
    <row r="86" ht="15.75" customHeight="1">
      <c r="A86" s="19" t="s">
        <v>488</v>
      </c>
      <c r="B86" s="19" t="s">
        <v>490</v>
      </c>
      <c r="C86" s="19" t="s">
        <v>38</v>
      </c>
      <c r="D86" s="21" t="s">
        <v>492</v>
      </c>
      <c r="E86" s="19" t="s">
        <v>221</v>
      </c>
      <c r="F86" s="19" t="s">
        <v>493</v>
      </c>
    </row>
    <row r="87" ht="15.75" customHeight="1">
      <c r="A87" s="19" t="s">
        <v>495</v>
      </c>
      <c r="B87" s="19" t="s">
        <v>496</v>
      </c>
      <c r="C87" s="19" t="s">
        <v>38</v>
      </c>
      <c r="D87" s="21" t="s">
        <v>497</v>
      </c>
      <c r="E87" s="19" t="s">
        <v>221</v>
      </c>
      <c r="F87" s="19" t="s">
        <v>493</v>
      </c>
    </row>
    <row r="88" ht="15.75" customHeight="1">
      <c r="A88" s="19" t="s">
        <v>499</v>
      </c>
      <c r="B88" s="19" t="s">
        <v>500</v>
      </c>
      <c r="C88" s="19" t="s">
        <v>38</v>
      </c>
      <c r="D88" s="21" t="s">
        <v>501</v>
      </c>
      <c r="E88" s="19" t="s">
        <v>502</v>
      </c>
      <c r="F88" s="19" t="s">
        <v>493</v>
      </c>
    </row>
    <row r="89" ht="15.75" customHeight="1">
      <c r="A89" s="19" t="s">
        <v>504</v>
      </c>
      <c r="B89" s="19" t="s">
        <v>505</v>
      </c>
      <c r="C89" s="19" t="s">
        <v>38</v>
      </c>
      <c r="D89" s="21" t="s">
        <v>507</v>
      </c>
      <c r="E89" s="19" t="s">
        <v>509</v>
      </c>
      <c r="F89" s="19" t="s">
        <v>493</v>
      </c>
    </row>
    <row r="90" ht="15.75" customHeight="1">
      <c r="A90" s="19" t="s">
        <v>511</v>
      </c>
      <c r="B90" s="19" t="s">
        <v>512</v>
      </c>
      <c r="C90" s="19" t="s">
        <v>38</v>
      </c>
      <c r="D90" s="21" t="s">
        <v>514</v>
      </c>
      <c r="E90" s="19" t="s">
        <v>516</v>
      </c>
      <c r="F90" s="19" t="s">
        <v>493</v>
      </c>
    </row>
    <row r="91" ht="15.75" customHeight="1">
      <c r="A91" s="19" t="s">
        <v>518</v>
      </c>
      <c r="B91" s="19" t="s">
        <v>519</v>
      </c>
      <c r="C91" s="19" t="s">
        <v>38</v>
      </c>
      <c r="D91" s="21" t="s">
        <v>520</v>
      </c>
      <c r="E91" s="19" t="s">
        <v>521</v>
      </c>
      <c r="F91" s="19" t="s">
        <v>493</v>
      </c>
    </row>
    <row r="92" ht="15.75" customHeight="1">
      <c r="A92" s="19" t="s">
        <v>523</v>
      </c>
      <c r="B92" s="19" t="s">
        <v>525</v>
      </c>
      <c r="C92" s="19" t="s">
        <v>38</v>
      </c>
      <c r="D92" s="21" t="s">
        <v>527</v>
      </c>
      <c r="E92" s="19" t="s">
        <v>528</v>
      </c>
      <c r="F92" s="19" t="s">
        <v>493</v>
      </c>
    </row>
    <row r="93" ht="15.75" customHeight="1">
      <c r="A93" s="19" t="s">
        <v>529</v>
      </c>
      <c r="B93" s="19" t="s">
        <v>530</v>
      </c>
      <c r="C93" s="19" t="s">
        <v>38</v>
      </c>
      <c r="D93" s="21" t="s">
        <v>533</v>
      </c>
      <c r="E93" s="19" t="s">
        <v>534</v>
      </c>
      <c r="F93" s="19" t="s">
        <v>493</v>
      </c>
    </row>
    <row r="94" ht="15.75" customHeight="1">
      <c r="A94" s="19" t="s">
        <v>535</v>
      </c>
      <c r="B94" s="19" t="s">
        <v>536</v>
      </c>
      <c r="C94" s="19" t="s">
        <v>38</v>
      </c>
      <c r="D94" s="21" t="s">
        <v>537</v>
      </c>
      <c r="E94" s="19" t="s">
        <v>539</v>
      </c>
      <c r="F94" s="19" t="s">
        <v>493</v>
      </c>
    </row>
    <row r="95" ht="15.75" customHeight="1">
      <c r="A95" s="19" t="s">
        <v>540</v>
      </c>
      <c r="B95" s="19" t="s">
        <v>542</v>
      </c>
      <c r="C95" s="19" t="s">
        <v>38</v>
      </c>
      <c r="D95" s="21" t="s">
        <v>544</v>
      </c>
      <c r="E95" s="19" t="s">
        <v>545</v>
      </c>
      <c r="F95" s="19" t="s">
        <v>493</v>
      </c>
    </row>
    <row r="96" ht="15.75" customHeight="1">
      <c r="A96" s="19" t="s">
        <v>546</v>
      </c>
      <c r="B96" s="19" t="s">
        <v>547</v>
      </c>
      <c r="C96" s="19" t="s">
        <v>38</v>
      </c>
      <c r="D96" s="21" t="s">
        <v>549</v>
      </c>
      <c r="E96" s="19" t="s">
        <v>550</v>
      </c>
      <c r="F96" s="19" t="s">
        <v>493</v>
      </c>
    </row>
    <row r="97" ht="15.75" customHeight="1">
      <c r="A97" s="19" t="s">
        <v>551</v>
      </c>
      <c r="B97" s="19" t="s">
        <v>552</v>
      </c>
      <c r="C97" s="19" t="s">
        <v>38</v>
      </c>
      <c r="D97" s="21" t="s">
        <v>553</v>
      </c>
      <c r="E97" s="19" t="s">
        <v>221</v>
      </c>
      <c r="F97" s="19" t="s">
        <v>493</v>
      </c>
    </row>
    <row r="98" ht="15.75" customHeight="1">
      <c r="A98" s="19" t="s">
        <v>554</v>
      </c>
      <c r="B98" s="19" t="s">
        <v>555</v>
      </c>
      <c r="C98" s="19" t="s">
        <v>38</v>
      </c>
      <c r="D98" s="21" t="s">
        <v>556</v>
      </c>
      <c r="E98" s="19" t="s">
        <v>557</v>
      </c>
      <c r="F98" s="19" t="s">
        <v>493</v>
      </c>
    </row>
    <row r="99" ht="15.75" customHeight="1">
      <c r="A99" s="19" t="s">
        <v>559</v>
      </c>
      <c r="B99" s="19" t="s">
        <v>560</v>
      </c>
      <c r="C99" s="19" t="s">
        <v>38</v>
      </c>
      <c r="D99" s="21" t="s">
        <v>562</v>
      </c>
      <c r="E99" s="19" t="s">
        <v>221</v>
      </c>
      <c r="F99" s="19" t="s">
        <v>493</v>
      </c>
    </row>
    <row r="100" ht="15.75" customHeight="1">
      <c r="A100" s="19" t="s">
        <v>565</v>
      </c>
      <c r="B100" s="19" t="s">
        <v>567</v>
      </c>
      <c r="C100" s="19" t="s">
        <v>38</v>
      </c>
      <c r="D100" s="21" t="s">
        <v>553</v>
      </c>
      <c r="E100" s="19" t="s">
        <v>221</v>
      </c>
      <c r="F100" s="19" t="s">
        <v>493</v>
      </c>
    </row>
    <row r="101" ht="15.75" customHeight="1">
      <c r="A101" s="19" t="s">
        <v>570</v>
      </c>
      <c r="B101" s="19" t="s">
        <v>571</v>
      </c>
      <c r="C101" s="19" t="s">
        <v>38</v>
      </c>
      <c r="D101" s="21" t="s">
        <v>573</v>
      </c>
      <c r="E101" s="19" t="s">
        <v>574</v>
      </c>
      <c r="F101" s="19" t="s">
        <v>493</v>
      </c>
    </row>
    <row r="102" ht="15.75" customHeight="1">
      <c r="A102" s="19" t="s">
        <v>575</v>
      </c>
      <c r="B102" s="19" t="s">
        <v>576</v>
      </c>
      <c r="C102" s="19" t="s">
        <v>38</v>
      </c>
      <c r="D102" s="21" t="s">
        <v>577</v>
      </c>
      <c r="E102" s="19" t="s">
        <v>578</v>
      </c>
      <c r="F102" s="19" t="s">
        <v>493</v>
      </c>
    </row>
    <row r="103" ht="15.75" customHeight="1">
      <c r="A103" s="19" t="s">
        <v>580</v>
      </c>
      <c r="B103" s="19" t="s">
        <v>581</v>
      </c>
      <c r="C103" s="19" t="s">
        <v>38</v>
      </c>
      <c r="D103" s="21" t="s">
        <v>582</v>
      </c>
      <c r="E103" s="19" t="s">
        <v>583</v>
      </c>
      <c r="F103" s="19" t="s">
        <v>493</v>
      </c>
    </row>
    <row r="104" ht="15.75" customHeight="1">
      <c r="A104" s="19" t="s">
        <v>585</v>
      </c>
      <c r="B104" s="19" t="s">
        <v>586</v>
      </c>
      <c r="C104" s="19" t="s">
        <v>38</v>
      </c>
      <c r="D104" s="21" t="s">
        <v>588</v>
      </c>
      <c r="E104" s="19" t="s">
        <v>590</v>
      </c>
      <c r="F104" s="19" t="s">
        <v>493</v>
      </c>
    </row>
    <row r="105" ht="15.75" customHeight="1">
      <c r="A105" s="19" t="s">
        <v>593</v>
      </c>
      <c r="B105" s="19" t="s">
        <v>595</v>
      </c>
      <c r="C105" s="19" t="s">
        <v>38</v>
      </c>
      <c r="D105" s="21" t="s">
        <v>597</v>
      </c>
      <c r="E105" s="19" t="s">
        <v>598</v>
      </c>
      <c r="F105" s="19" t="s">
        <v>599</v>
      </c>
    </row>
    <row r="106" ht="15.75" customHeight="1">
      <c r="A106" s="19" t="s">
        <v>600</v>
      </c>
      <c r="B106" s="19" t="s">
        <v>601</v>
      </c>
      <c r="C106" s="19" t="s">
        <v>38</v>
      </c>
      <c r="D106" s="21" t="s">
        <v>602</v>
      </c>
      <c r="E106" s="19" t="s">
        <v>598</v>
      </c>
      <c r="F106" s="19" t="s">
        <v>599</v>
      </c>
    </row>
    <row r="107" ht="15.75" customHeight="1">
      <c r="A107" s="19" t="s">
        <v>605</v>
      </c>
      <c r="B107" s="19" t="s">
        <v>606</v>
      </c>
      <c r="C107" s="19" t="s">
        <v>38</v>
      </c>
      <c r="D107" s="21" t="s">
        <v>608</v>
      </c>
      <c r="E107" s="19" t="s">
        <v>609</v>
      </c>
      <c r="F107" s="19" t="s">
        <v>599</v>
      </c>
    </row>
    <row r="108" ht="15.75" customHeight="1">
      <c r="A108" s="19" t="s">
        <v>610</v>
      </c>
      <c r="B108" s="19" t="s">
        <v>611</v>
      </c>
      <c r="C108" s="19" t="s">
        <v>38</v>
      </c>
      <c r="D108" s="21" t="s">
        <v>613</v>
      </c>
      <c r="E108" s="19" t="s">
        <v>615</v>
      </c>
      <c r="F108" s="19" t="s">
        <v>616</v>
      </c>
    </row>
    <row r="109" ht="15.75" customHeight="1">
      <c r="A109" s="19" t="s">
        <v>617</v>
      </c>
      <c r="B109" s="19" t="s">
        <v>618</v>
      </c>
      <c r="C109" s="19" t="s">
        <v>38</v>
      </c>
      <c r="D109" s="21" t="s">
        <v>619</v>
      </c>
      <c r="E109" s="19" t="s">
        <v>621</v>
      </c>
      <c r="F109" s="19" t="s">
        <v>616</v>
      </c>
    </row>
    <row r="110" ht="15.75" customHeight="1">
      <c r="A110" s="19" t="s">
        <v>623</v>
      </c>
      <c r="B110" s="19" t="s">
        <v>624</v>
      </c>
      <c r="C110" s="19" t="s">
        <v>38</v>
      </c>
      <c r="D110" s="21" t="s">
        <v>626</v>
      </c>
      <c r="E110" s="19" t="s">
        <v>627</v>
      </c>
      <c r="F110" s="19" t="s">
        <v>43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